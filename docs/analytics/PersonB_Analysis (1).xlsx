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1_DataCheck - task1_data_check" sheetId="2" r:id="rId6"/>
    <sheet name="2_SignalCheck - Table 1" sheetId="3" r:id="rId7"/>
    <sheet name="2_SignalCheck - Table 1-1" sheetId="4" r:id="rId8"/>
    <sheet name="2b_Maruti - Table 1" sheetId="5" r:id="rId9"/>
    <sheet name="2b_Maruti - Table 1-1" sheetId="6" r:id="rId10"/>
    <sheet name="3a_Yearly - Table 1-1" sheetId="7" r:id="rId11"/>
    <sheet name="3a_Yearly - task3a_yearly" sheetId="8" r:id="rId12"/>
    <sheet name="3b_Volatility" sheetId="9" r:id="rId13"/>
    <sheet name="3c_Correlation" sheetId="10" r:id="rId14"/>
    <sheet name="4_Anomalies" sheetId="11" r:id="rId15"/>
    <sheet name="5_Backtest" sheetId="12" r:id="rId16"/>
    <sheet name="6_Valuation" sheetId="13" r:id="rId17"/>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<sst xmlns="http://schemas.openxmlformats.org/spreadsheetml/2006/main" uniqueCount="471">
  <si>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</si>
  <si>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</si>
  <si>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</si>
  <si>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</si>
  <si>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1_DataCheck</t>
  </si>
  <si>
    <t>task1_data_check</t>
  </si>
  <si>
    <t>1_DataCheck - task1_data_check</t>
  </si>
  <si>
    <t>sector_name</t>
  </si>
  <si>
    <t>ticker</t>
  </si>
  <si>
    <t>company_name</t>
  </si>
  <si>
    <t>price_date</t>
  </si>
  <si>
    <t>open</t>
  </si>
  <si>
    <t>high</t>
  </si>
  <si>
    <t>low</t>
  </si>
  <si>
    <t>close</t>
  </si>
  <si>
    <t>adj_close</t>
  </si>
  <si>
    <t>Yahoo Close</t>
  </si>
  <si>
    <t>Diff</t>
  </si>
  <si>
    <t>Diff%</t>
  </si>
  <si>
    <t>Status</t>
  </si>
  <si>
    <t>Note</t>
  </si>
  <si>
    <t>Banking</t>
  </si>
  <si>
    <t>ICICIBANK.NS</t>
  </si>
  <si>
    <t>ICICI Bank</t>
  </si>
  <si>
    <t>2017-06-30</t>
  </si>
  <si>
    <t>Match</t>
  </si>
  <si>
    <t>2018-07-13</t>
  </si>
  <si>
    <t>2021-02-24</t>
  </si>
  <si>
    <t>2025-04-28</t>
  </si>
  <si>
    <t>2026-06-05</t>
  </si>
  <si>
    <t>FMCG</t>
  </si>
  <si>
    <t>ITC.NS</t>
  </si>
  <si>
    <t>ITC</t>
  </si>
  <si>
    <t>adjusted for ITC Hotels demerger (Jan 2025)</t>
  </si>
  <si>
    <t>Auto</t>
  </si>
  <si>
    <t>MARUTI.NS</t>
  </si>
  <si>
    <t>Maruti Suzuki India</t>
  </si>
  <si>
    <t>Rounding (Yahoo 2 dp vs DB 4 dp)</t>
  </si>
  <si>
    <t>Pharma</t>
  </si>
  <si>
    <t>SUNPHARMA.NS</t>
  </si>
  <si>
    <t>Sun Pharmaceutical Industries</t>
  </si>
  <si>
    <t>IT</t>
  </si>
  <si>
    <t>WIPRO.NS</t>
  </si>
  <si>
    <t>Wipro</t>
  </si>
  <si>
    <t>Adjusted for 2019 &amp; 2024 bonus issues</t>
  </si>
  <si>
    <t>Adjusted for 2024 bonus issue</t>
  </si>
  <si>
    <t>2_SignalCheck</t>
  </si>
  <si>
    <t>Table 1</t>
  </si>
  <si>
    <t>2_SignalCheck - Table 1</t>
  </si>
  <si>
    <t>Table 1-1</t>
  </si>
  <si>
    <t>2_SignalCheck - Table 1-1</t>
  </si>
  <si>
    <t>momentum_20d</t>
  </si>
  <si>
    <t>sma_50</t>
  </si>
  <si>
    <t>rsi_14</t>
  </si>
  <si>
    <t>Change</t>
  </si>
  <si>
    <t>Gain</t>
  </si>
  <si>
    <t>Loss</t>
  </si>
  <si>
    <t>My Mom20</t>
  </si>
  <si>
    <t>Mom Diff</t>
  </si>
  <si>
    <t>My SMA50</t>
  </si>
  <si>
    <t>SMA Diff</t>
  </si>
  <si>
    <t>My RSI14</t>
  </si>
  <si>
    <t>RSI Diff</t>
  </si>
  <si>
    <t>2026-05-21</t>
  </si>
  <si>
    <t>2026-05-22</t>
  </si>
  <si>
    <t>2026-05-25</t>
  </si>
  <si>
    <t>2026-05-26</t>
  </si>
  <si>
    <t>2026-05-27</t>
  </si>
  <si>
    <t>2026-05-29</t>
  </si>
  <si>
    <t>2026-06-01</t>
  </si>
  <si>
    <t>2026-06-02</t>
  </si>
  <si>
    <t>2026-06-03</t>
  </si>
  <si>
    <t>2026-06-04</t>
  </si>
  <si>
    <t>2026-06-08</t>
  </si>
  <si>
    <t>2026-06-09</t>
  </si>
  <si>
    <t>2026-06-10</t>
  </si>
  <si>
    <t>2026-06-11</t>
  </si>
  <si>
    <t>2026-06-12</t>
  </si>
  <si>
    <t>2026-06-15</t>
  </si>
  <si>
    <t>2026-06-16</t>
  </si>
  <si>
    <t>2026-06-17</t>
  </si>
  <si>
    <t>2026-06-18</t>
  </si>
  <si>
    <t>2026-06-19</t>
  </si>
  <si>
    <t>2026-06-22</t>
  </si>
  <si>
    <t>2026-06-23</t>
  </si>
  <si>
    <t>2026-06-24</t>
  </si>
  <si>
    <t>2026-06-25</t>
  </si>
  <si>
    <t>2026-06-29</t>
  </si>
  <si>
    <t>2026-06-30</t>
  </si>
  <si>
    <t>2026-07-01</t>
  </si>
  <si>
    <t>2026-07-02</t>
  </si>
  <si>
    <t>2026-07-03</t>
  </si>
  <si>
    <t>2026-07-06</t>
  </si>
  <si>
    <t>2026-07-07</t>
  </si>
  <si>
    <t>2026-07-08</t>
  </si>
  <si>
    <t>2026-07-09</t>
  </si>
  <si>
    <t>2026-07-10</t>
  </si>
  <si>
    <t>2026-07-13</t>
  </si>
  <si>
    <t>2026-07-14</t>
  </si>
  <si>
    <t>2026-07-15</t>
  </si>
  <si>
    <t>2026-07-16</t>
  </si>
  <si>
    <t>2026-07-17</t>
  </si>
  <si>
    <t>2026-07-20</t>
  </si>
  <si>
    <t>2026-07-21</t>
  </si>
  <si>
    <t>2026-07-22</t>
  </si>
  <si>
    <t>2026-07-23</t>
  </si>
  <si>
    <t>2026-07-24</t>
  </si>
  <si>
    <t>2026-07-27</t>
  </si>
  <si>
    <t>2026-07-28</t>
  </si>
  <si>
    <t>2026-07-29</t>
  </si>
  <si>
    <t>2026-07-30</t>
  </si>
  <si>
    <t>2026-07-31</t>
  </si>
  <si>
    <t>2026-08-03</t>
  </si>
  <si>
    <t>2026-08-04</t>
  </si>
  <si>
    <t>2026-08-05</t>
  </si>
  <si>
    <t>2026-08-06</t>
  </si>
  <si>
    <t>2026-08-07</t>
  </si>
  <si>
    <t>2026-08-10</t>
  </si>
  <si>
    <t>2026-08-11</t>
  </si>
  <si>
    <t>2026-08-12</t>
  </si>
  <si>
    <t>2026-08-13</t>
  </si>
  <si>
    <t>2026-08-14</t>
  </si>
  <si>
    <t>2026-08-17</t>
  </si>
  <si>
    <t>2026-08-18</t>
  </si>
  <si>
    <t>2026-08-19</t>
  </si>
  <si>
    <t>2026-08-20</t>
  </si>
  <si>
    <t>2026-08-21</t>
  </si>
  <si>
    <t>2026-08-24</t>
  </si>
  <si>
    <t>2026-08-25</t>
  </si>
  <si>
    <t>2026-08-26</t>
  </si>
  <si>
    <t>2026-08-27</t>
  </si>
  <si>
    <t>2026-08-28</t>
  </si>
  <si>
    <t>2026-08-31</t>
  </si>
  <si>
    <t>2026-09-01</t>
  </si>
  <si>
    <t>2026-09-02</t>
  </si>
  <si>
    <t>2026-09-03</t>
  </si>
  <si>
    <t>2026-09-04</t>
  </si>
  <si>
    <t>2026-09-07</t>
  </si>
  <si>
    <t>2026-09-08</t>
  </si>
  <si>
    <t>2026-09-09</t>
  </si>
  <si>
    <t>2026-09-10</t>
  </si>
  <si>
    <t>2026-09-11</t>
  </si>
  <si>
    <t>2026-09-15</t>
  </si>
  <si>
    <t>2026-09-16</t>
  </si>
  <si>
    <t>2026-09-17</t>
  </si>
  <si>
    <t>2026-09-18</t>
  </si>
  <si>
    <t>2026-09-21</t>
  </si>
  <si>
    <t>2026-09-22</t>
  </si>
  <si>
    <t>2026-09-23</t>
  </si>
  <si>
    <t>2026-09-24</t>
  </si>
  <si>
    <t>2026-09-25</t>
  </si>
  <si>
    <t>2026-09-28</t>
  </si>
  <si>
    <t>2026-09-29</t>
  </si>
  <si>
    <t>2026-09-30</t>
  </si>
  <si>
    <t>2026-10-01</t>
  </si>
  <si>
    <t>2026-10-05</t>
  </si>
  <si>
    <t>2026-10-06</t>
  </si>
  <si>
    <t>2026-10-07</t>
  </si>
  <si>
    <t>2026-10-08</t>
  </si>
  <si>
    <t>2026-10-09</t>
  </si>
  <si>
    <t>2026-10-12</t>
  </si>
  <si>
    <t>2026-10-13</t>
  </si>
  <si>
    <t>Summary</t>
  </si>
  <si>
    <t>Max |diff|</t>
  </si>
  <si>
    <t>Pass if</t>
  </si>
  <si>
    <t>Result</t>
  </si>
  <si>
    <t>Largest Mom Diff</t>
  </si>
  <si>
    <t>&lt; 0.0001</t>
  </si>
  <si>
    <t>PASS</t>
  </si>
  <si>
    <t>Largest SMA Diff</t>
  </si>
  <si>
    <t>&lt; 0.01</t>
  </si>
  <si>
    <t>Largest RSI Diff</t>
  </si>
  <si>
    <t>&lt; 0.1</t>
  </si>
  <si>
    <t>2b_Maruti</t>
  </si>
  <si>
    <t>2b_Maruti - Table 1</t>
  </si>
  <si>
    <t>2b_Maruti - Table 1-1</t>
  </si>
  <si>
    <t>3a_Yearly</t>
  </si>
  <si>
    <t>3a_Yearly - Table 1-1</t>
  </si>
  <si>
    <t>Year</t>
  </si>
  <si>
    <t>Strongest</t>
  </si>
  <si>
    <t>Return</t>
  </si>
  <si>
    <t>Weakest</t>
  </si>
  <si>
    <t>2026 (YTD)</t>
  </si>
  <si>
    <t>task3a_yearly</t>
  </si>
  <si>
    <t>3a_Yearly - task3a_yearly</t>
  </si>
  <si>
    <t>year</t>
  </si>
  <si>
    <t>return_pct</t>
  </si>
  <si>
    <t>rank_in_year</t>
  </si>
  <si>
    <t>3b_Volatility</t>
  </si>
  <si>
    <t>Sector</t>
  </si>
  <si>
    <t>Yearly volatility</t>
  </si>
  <si>
    <t>Avg stock volatility</t>
  </si>
  <si>
    <t>Worst day</t>
  </si>
  <si>
    <t>Best day</t>
  </si>
  <si>
    <r>
      <rPr>
        <b val="1"/>
        <sz val="12"/>
        <color indexed="8"/>
        <rFont val="Times Roman"/>
      </rPr>
      <t>22.34%</t>
    </r>
    <r>
      <rPr>
        <sz val="12"/>
        <color indexed="8"/>
        <rFont val="Times Roman"/>
      </rPr>
      <t xml:space="preserve"> (most volatile)</t>
    </r>
  </si>
  <si>
    <r>
      <rPr>
        <b val="1"/>
        <sz val="12"/>
        <color indexed="8"/>
        <rFont val="Times Roman"/>
      </rPr>
      <t>16.2%</t>
    </r>
    <r>
      <rPr>
        <sz val="12"/>
        <color indexed="8"/>
        <rFont val="Times Roman"/>
      </rPr>
      <t xml:space="preserve"> (most stable)</t>
    </r>
  </si>
  <si>
    <t>3c_Correlation</t>
  </si>
  <si>
    <t>4_Anomalies</t>
  </si>
  <si>
    <t>Anomaly case studies (5 largest, from different dates/causes)</t>
  </si>
  <si>
    <t>Date</t>
  </si>
  <si>
    <t>Company</t>
  </si>
  <si>
    <t>Move %</t>
  </si>
  <si>
    <t>Volume z-score</t>
  </si>
  <si>
    <t>Flag</t>
  </si>
  <si>
    <t>Category</t>
  </si>
  <si>
    <t>Cause</t>
  </si>
  <si>
    <t>Summary (2–3 lines)</t>
  </si>
  <si>
    <t>2020-03-23</t>
  </si>
  <si>
    <t>Axis Bank</t>
  </si>
  <si>
    <t>price_spike</t>
  </si>
  <si>
    <t>Market-wide shock</t>
  </si>
  <si>
    <t>COVID-19 crash</t>
  </si>
  <si>
    <t>Indian markets had their worst single day as the country moved towards a nationwide lockdown. Banks fell hardest on fears of loan defaults. ICICI, Maruti and Tech Mahindra crashed the same day, so this was market-wide, not company-specific.</t>
  </si>
  <si>
    <t>2017-10-25</t>
  </si>
  <si>
    <t>State Bank of India</t>
  </si>
  <si>
    <t>price_and_volume_spike</t>
  </si>
  <si>
    <t>Government policy</t>
  </si>
  <si>
    <t>PSU bank recapitalisation plan</t>
  </si>
  <si>
    <t>The government announced a ~₹2.11 lakh crore plan to recapitalise public-sector banks the previous evening. PSU bank stocks surged and SBI led the Sensex and Nifty to record closes. The volume z-score of 64 is the highest in the anomaly list.</t>
  </si>
  <si>
    <t>2017-03-21</t>
  </si>
  <si>
    <t>Divi's Laboratories</t>
  </si>
  <si>
    <t>Regulatory action</t>
  </si>
  <si>
    <t>USFDA import alert on Vizag Unit-II</t>
  </si>
  <si>
    <t>The US FDA issued an import alert on Divi's Visakhapatnam plant, blocking its products from the US market. As the US is a key export market for Indian pharma, the stock fell about 20% in one day.</t>
  </si>
  <si>
    <t>2019-10-22</t>
  </si>
  <si>
    <t>Infosys</t>
  </si>
  <si>
    <t>Corporate governance</t>
  </si>
  <si>
    <t>Whistleblower complaint against CEO/CFO</t>
  </si>
  <si>
    <t>Anonymous whistleblowers accused the CEO and CFO of unethical practices to inflate short-term profits. It was the stock's worst fall in years, and the company ordered an independent investigation.</t>
  </si>
  <si>
    <t>2020-07-15</t>
  </si>
  <si>
    <t>Quarterly results</t>
  </si>
  <si>
    <t>Q1 FY21 margins beat estimates</t>
  </si>
  <si>
    <t>Wipro's Q1 FY21 operating margins came in well above analysts' expectations despite the COVID slowdown. The stock jumped more than 15% on very high volume.</t>
  </si>
  <si>
    <t>Source data: top 20 flagged anomalies by size of move (Task 4 query)</t>
  </si>
  <si>
    <t>signal_date</t>
  </si>
  <si>
    <t>move_pct</t>
  </si>
  <si>
    <t>volume_zscore</t>
  </si>
  <si>
    <t>anomaly_reason</t>
  </si>
  <si>
    <t>AXISBANK.NS</t>
  </si>
  <si>
    <t>SBIN.NS</t>
  </si>
  <si>
    <t>2016-12-23</t>
  </si>
  <si>
    <t>DIVISLAB.NS</t>
  </si>
  <si>
    <t>2017-11-07</t>
  </si>
  <si>
    <t>LUPIN.NS</t>
  </si>
  <si>
    <t>Lupin</t>
  </si>
  <si>
    <t>INFY.NS</t>
  </si>
  <si>
    <t>2017-11-02</t>
  </si>
  <si>
    <t>TECHM.NS</t>
  </si>
  <si>
    <t>Tech Mahindra</t>
  </si>
  <si>
    <t>2015-07-21</t>
  </si>
  <si>
    <t>2018-10-29</t>
  </si>
  <si>
    <t>2015-11-06</t>
  </si>
  <si>
    <t>DRREDDY.NS</t>
  </si>
  <si>
    <t>Dr. Reddy's Laboratories</t>
  </si>
  <si>
    <t>2024-06-04</t>
  </si>
  <si>
    <t>2015-05-27</t>
  </si>
  <si>
    <t>2015-03-02</t>
  </si>
  <si>
    <t>2020-04-07</t>
  </si>
  <si>
    <t>2020-03-13</t>
  </si>
  <si>
    <t>5_Backtest</t>
  </si>
  <si>
    <t>Month</t>
  </si>
  <si>
    <t>Sector held</t>
  </si>
  <si>
    <t>Strategy return %</t>
  </si>
  <si>
    <t>Equal-wt return %</t>
  </si>
  <si>
    <t>Strategy value (Rs)</t>
  </si>
  <si>
    <t>Equal-wt value (Rs)</t>
  </si>
  <si>
    <t>Strategy beat EW?</t>
  </si>
  <si>
    <t>2015-02-01</t>
  </si>
  <si>
    <t>Yes</t>
  </si>
  <si>
    <t>Strategy</t>
  </si>
  <si>
    <t>Equal-weight</t>
  </si>
  <si>
    <t>2015-03-01</t>
  </si>
  <si>
    <t>No</t>
  </si>
  <si>
    <t>Final value of Rs 100</t>
  </si>
  <si>
    <t>2015-04-01</t>
  </si>
  <si>
    <t>Total return</t>
  </si>
  <si>
    <t>2015-05-01</t>
  </si>
  <si>
    <t>CAGR (yearly growth)</t>
  </si>
  <si>
    <t>2015-06-01</t>
  </si>
  <si>
    <t>Volatility (annualised)</t>
  </si>
  <si>
    <t>2015-07-01</t>
  </si>
  <si>
    <t>Best month</t>
  </si>
  <si>
    <t>2015-08-01</t>
  </si>
  <si>
    <t>Worst month</t>
  </si>
  <si>
    <t>2015-09-01</t>
  </si>
  <si>
    <t>Months strategy beat EW</t>
  </si>
  <si>
    <t>2015-10-01</t>
  </si>
  <si>
    <t>2015-11-01</t>
  </si>
  <si>
    <t>Method: at each month-end, hold the sector with the highest relative_strength (v_sector_strength) for the next month; equal-weight = average of all 5 sector returns. No transaction costs.</t>
  </si>
  <si>
    <t>2015-12-01</t>
  </si>
  <si>
    <t>2016-01-01</t>
  </si>
  <si>
    <t>2016-02-01</t>
  </si>
  <si>
    <t>2016-03-01</t>
  </si>
  <si>
    <t>2016-04-01</t>
  </si>
  <si>
    <t>2016-05-01</t>
  </si>
  <si>
    <t>2016-06-01</t>
  </si>
  <si>
    <t>2016-07-01</t>
  </si>
  <si>
    <t>2016-08-01</t>
  </si>
  <si>
    <t>2016-09-01</t>
  </si>
  <si>
    <t>2016-10-01</t>
  </si>
  <si>
    <t>2016-11-01</t>
  </si>
  <si>
    <t>2016-12-01</t>
  </si>
  <si>
    <t>2017-01-01</t>
  </si>
  <si>
    <t>2017-02-01</t>
  </si>
  <si>
    <t>2017-03-01</t>
  </si>
  <si>
    <t>2017-04-01</t>
  </si>
  <si>
    <t>2017-05-01</t>
  </si>
  <si>
    <t>2017-06-01</t>
  </si>
  <si>
    <t>2017-07-01</t>
  </si>
  <si>
    <t>2017-08-01</t>
  </si>
  <si>
    <t>2017-09-01</t>
  </si>
  <si>
    <t>2017-10-01</t>
  </si>
  <si>
    <t>2017-11-01</t>
  </si>
  <si>
    <t>2017-12-01</t>
  </si>
  <si>
    <t>2018-01-01</t>
  </si>
  <si>
    <t>2018-02-01</t>
  </si>
  <si>
    <t>2018-03-01</t>
  </si>
  <si>
    <t>2018-04-01</t>
  </si>
  <si>
    <t>2018-05-01</t>
  </si>
  <si>
    <t>2018-06-01</t>
  </si>
  <si>
    <t>2018-07-01</t>
  </si>
  <si>
    <t>2018-08-01</t>
  </si>
  <si>
    <t>2018-09-01</t>
  </si>
  <si>
    <t>2018-10-01</t>
  </si>
  <si>
    <t>2018-11-01</t>
  </si>
  <si>
    <t>2018-12-01</t>
  </si>
  <si>
    <t>2019-01-01</t>
  </si>
  <si>
    <t>2019-02-01</t>
  </si>
  <si>
    <t>2019-03-01</t>
  </si>
  <si>
    <t>2019-04-01</t>
  </si>
  <si>
    <t>2019-05-01</t>
  </si>
  <si>
    <t>2019-06-01</t>
  </si>
  <si>
    <t>2019-07-01</t>
  </si>
  <si>
    <t>2019-08-01</t>
  </si>
  <si>
    <t>2019-09-01</t>
  </si>
  <si>
    <t>2019-10-01</t>
  </si>
  <si>
    <t>2019-11-01</t>
  </si>
  <si>
    <t>2019-12-01</t>
  </si>
  <si>
    <t>2020-01-01</t>
  </si>
  <si>
    <t>2020-02-01</t>
  </si>
  <si>
    <t>2020-03-01</t>
  </si>
  <si>
    <t>2020-04-01</t>
  </si>
  <si>
    <t>2020-05-01</t>
  </si>
  <si>
    <t>2020-06-01</t>
  </si>
  <si>
    <t>2020-07-01</t>
  </si>
  <si>
    <t>2020-08-01</t>
  </si>
  <si>
    <t>2020-09-01</t>
  </si>
  <si>
    <t>2020-10-01</t>
  </si>
  <si>
    <t>2020-11-01</t>
  </si>
  <si>
    <t>2020-12-01</t>
  </si>
  <si>
    <t>2021-01-01</t>
  </si>
  <si>
    <t>2021-02-01</t>
  </si>
  <si>
    <t>2021-03-01</t>
  </si>
  <si>
    <t>2021-04-01</t>
  </si>
  <si>
    <t>2021-05-01</t>
  </si>
  <si>
    <t>2021-06-01</t>
  </si>
  <si>
    <t>2021-07-01</t>
  </si>
  <si>
    <t>2021-08-01</t>
  </si>
  <si>
    <t>2021-09-01</t>
  </si>
  <si>
    <t>2021-10-01</t>
  </si>
  <si>
    <t>2021-11-01</t>
  </si>
  <si>
    <t>2021-12-01</t>
  </si>
  <si>
    <t>2022-01-01</t>
  </si>
  <si>
    <t>2022-02-01</t>
  </si>
  <si>
    <t>2022-03-01</t>
  </si>
  <si>
    <t>2022-04-01</t>
  </si>
  <si>
    <t>2022-05-01</t>
  </si>
  <si>
    <t>2022-06-01</t>
  </si>
  <si>
    <t>2022-07-01</t>
  </si>
  <si>
    <t>2022-08-01</t>
  </si>
  <si>
    <t>2022-09-01</t>
  </si>
  <si>
    <t>2022-10-01</t>
  </si>
  <si>
    <t>2022-11-01</t>
  </si>
  <si>
    <t>2022-12-01</t>
  </si>
  <si>
    <t>2023-01-01</t>
  </si>
  <si>
    <t>2023-02-01</t>
  </si>
  <si>
    <t>2023-03-01</t>
  </si>
  <si>
    <t>2023-04-01</t>
  </si>
  <si>
    <t>2023-05-01</t>
  </si>
  <si>
    <t>2023-06-01</t>
  </si>
  <si>
    <t>2023-07-01</t>
  </si>
  <si>
    <t>2023-08-01</t>
  </si>
  <si>
    <t>2023-09-01</t>
  </si>
  <si>
    <t>2023-10-01</t>
  </si>
  <si>
    <t>2023-11-01</t>
  </si>
  <si>
    <t>2023-12-01</t>
  </si>
  <si>
    <t>2024-01-01</t>
  </si>
  <si>
    <t>2024-02-01</t>
  </si>
  <si>
    <t>2024-03-01</t>
  </si>
  <si>
    <t>2024-04-01</t>
  </si>
  <si>
    <t>2024-05-01</t>
  </si>
  <si>
    <t>2024-06-01</t>
  </si>
  <si>
    <t>2024-07-01</t>
  </si>
  <si>
    <t>2024-08-01</t>
  </si>
  <si>
    <t>2024-09-01</t>
  </si>
  <si>
    <t>2024-10-01</t>
  </si>
  <si>
    <t>2024-11-01</t>
  </si>
  <si>
    <t>2024-12-01</t>
  </si>
  <si>
    <t>2025-01-01</t>
  </si>
  <si>
    <t>2025-02-01</t>
  </si>
  <si>
    <t>2025-03-01</t>
  </si>
  <si>
    <t>2025-04-01</t>
  </si>
  <si>
    <t>2025-05-01</t>
  </si>
  <si>
    <t>2025-06-01</t>
  </si>
  <si>
    <t>2025-07-01</t>
  </si>
  <si>
    <t>2025-08-01</t>
  </si>
  <si>
    <t>2025-09-01</t>
  </si>
  <si>
    <t>2025-10-01</t>
  </si>
  <si>
    <t>2025-11-01</t>
  </si>
  <si>
    <t>2025-12-01</t>
  </si>
  <si>
    <t>2026-01-01</t>
  </si>
  <si>
    <t>2026-02-01</t>
  </si>
  <si>
    <t>2026-03-01</t>
  </si>
  <si>
    <t>2026-04-01</t>
  </si>
  <si>
    <t>2026-05-01</t>
  </si>
  <si>
    <t>2026-08-01</t>
  </si>
  <si>
    <t>6_Valuation</t>
  </si>
  <si>
    <t>Ticker</t>
  </si>
  <si>
    <t>Snapshot date</t>
  </si>
  <si>
    <t>P/E</t>
  </si>
  <si>
    <t>Sector median P/E</t>
  </si>
  <si>
    <t>P/E vs sector %</t>
  </si>
  <si>
    <t>P/B</t>
  </si>
  <si>
    <t>Sector median P/B</t>
  </si>
  <si>
    <t>Dividend yield %</t>
  </si>
  <si>
    <t>Valuation flag</t>
  </si>
  <si>
    <t>M&amp;M.NS</t>
  </si>
  <si>
    <t>Mahindra &amp; Mahindra</t>
  </si>
  <si>
    <t>2026-10-10</t>
  </si>
  <si>
    <t>Cheap</t>
  </si>
  <si>
    <t>HEROMOTOCO.NS</t>
  </si>
  <si>
    <t>Hero MotoCorp</t>
  </si>
  <si>
    <t>BAJAJ-AUTO.NS</t>
  </si>
  <si>
    <t>Bajaj Auto</t>
  </si>
  <si>
    <t>Fair</t>
  </si>
  <si>
    <t>EICHERMOT.NS</t>
  </si>
  <si>
    <t>Eicher Motors</t>
  </si>
  <si>
    <t>Expensive</t>
  </si>
  <si>
    <t>HDFCBANK.NS</t>
  </si>
  <si>
    <t>HDFC Bank</t>
  </si>
  <si>
    <t>KOTAKBANK.NS</t>
  </si>
  <si>
    <t>Kotak Mahindra Bank</t>
  </si>
  <si>
    <t>DABUR.NS</t>
  </si>
  <si>
    <t>Dabur India</t>
  </si>
  <si>
    <t>HINDUNILVR.NS</t>
  </si>
  <si>
    <t>Hindustan Unilever</t>
  </si>
  <si>
    <t>BRITANNIA.NS</t>
  </si>
  <si>
    <t>Britannia Industries</t>
  </si>
  <si>
    <t>NESTLEIND.NS</t>
  </si>
  <si>
    <t>Nestle India</t>
  </si>
  <si>
    <t>TCS.NS</t>
  </si>
  <si>
    <t>Tata Consultancy Services</t>
  </si>
  <si>
    <t>HCLTECH.NS</t>
  </si>
  <si>
    <t>HCL Technologies</t>
  </si>
  <si>
    <t>CIPLA.NS</t>
  </si>
  <si>
    <t>Cipla</t>
  </si>
  <si>
    <t>Rule: Cheap if P/E &lt; 80% of sector median; Expensive if P/E &gt; 120% of sector median; otherwise Fair. Fundamentals are the latest weekly snapshot (current values only).</t>
  </si>
  <si>
    <t>Median P/E</t>
  </si>
  <si>
    <t>Median P/B</t>
  </si>
  <si>
    <t>Cheapest (P/E)</t>
  </si>
  <si>
    <t>Most expensive (P/E)</t>
  </si>
  <si>
    <t>Mahindra &amp; Mahindra (16.7)</t>
  </si>
  <si>
    <t>Eicher Motors (33.5)</t>
  </si>
  <si>
    <t>State Bank of India (10.3)</t>
  </si>
  <si>
    <t>Kotak Mahindra Bank (21.6)</t>
  </si>
  <si>
    <t>ITC (16.1)</t>
  </si>
  <si>
    <t>Nestle India (67.4)</t>
  </si>
  <si>
    <t>Wipro (12.9)</t>
  </si>
  <si>
    <t>Tech Mahindra (26.2)</t>
  </si>
  <si>
    <t>Lupin (16.2)</t>
  </si>
  <si>
    <t>Divi's Laboratories (84.9)</t>
  </si>
</sst>
</file>

<file path=xl/styles.xml><?xml version="1.0" encoding="utf-8"?>
<styleSheet xmlns="http://schemas.openxmlformats.org/spreadsheetml/2006/main">
  <numFmts count="6">
    <numFmt numFmtId="0" formatCode="General"/>
    <numFmt numFmtId="59" formatCode="0.0000%"/>
    <numFmt numFmtId="60" formatCode="0.0000"/>
    <numFmt numFmtId="61" formatCode="0.000000"/>
    <numFmt numFmtId="62" formatCode="0.0%"/>
    <numFmt numFmtId="63" formatCode="0.0#%"/>
  </numFmts>
  <fonts count="13">
    <font>
      <sz val="10"/>
      <color indexed="8"/>
      <name val="Helvetica Neue"/>
    </font>
    <font>
      <sz val="12"/>
      <color indexed="8"/>
      <name val="Helvetica Neue"/>
    </font>
    <font>
      <sz val="14"/>
      <color indexed="8"/>
      <name val="Helvetica Neue"/>
    </font>
    <font>
      <u val="single"/>
      <sz val="12"/>
      <color indexed="11"/>
      <name val="Helvetica Neue"/>
    </font>
    <font>
      <b val="1"/>
      <sz val="10"/>
      <color indexed="8"/>
      <name val="Helvetica Neue"/>
    </font>
    <font>
      <sz val="12"/>
      <color indexed="8"/>
      <name val="Times Roman"/>
    </font>
    <font>
      <sz val="11"/>
      <color indexed="8"/>
      <name val="Calibri"/>
    </font>
    <font>
      <sz val="15"/>
      <color indexed="8"/>
      <name val="Calibri"/>
    </font>
    <font>
      <sz val="10"/>
      <color indexed="8"/>
      <name val="Arial"/>
    </font>
    <font>
      <b val="1"/>
      <sz val="12"/>
      <color indexed="8"/>
      <name val="Times Roman"/>
    </font>
    <font>
      <b val="1"/>
      <sz val="12"/>
      <color indexed="8"/>
      <name val="Arial"/>
    </font>
    <font>
      <b val="1"/>
      <sz val="10"/>
      <color indexed="8"/>
      <name val="Arial"/>
    </font>
    <font>
      <sz val="9"/>
      <color indexed="8"/>
      <name val="Arial"/>
    </font>
  </fonts>
  <fills count="11">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16"/>
        <bgColor auto="1"/>
      </patternFill>
    </fill>
    <fill>
      <patternFill patternType="solid">
        <fgColor indexed="18"/>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s>
  <borders count="26">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7"/>
      </left>
      <right/>
      <top style="thin">
        <color indexed="17"/>
      </top>
      <bottom/>
      <diagonal/>
    </border>
    <border>
      <left/>
      <right/>
      <top style="thin">
        <color indexed="17"/>
      </top>
      <bottom/>
      <diagonal/>
    </border>
    <border>
      <left/>
      <right style="thin">
        <color indexed="17"/>
      </right>
      <top style="thin">
        <color indexed="17"/>
      </top>
      <bottom/>
      <diagonal/>
    </border>
    <border>
      <left style="thin">
        <color indexed="17"/>
      </left>
      <right style="thin">
        <color indexed="17"/>
      </right>
      <top/>
      <bottom style="thin">
        <color indexed="17"/>
      </bottom>
      <diagonal/>
    </border>
    <border>
      <left style="thin">
        <color indexed="17"/>
      </left>
      <right style="thin">
        <color indexed="17"/>
      </right>
      <top style="thin">
        <color indexed="17"/>
      </top>
      <bottom style="thin">
        <color indexed="17"/>
      </bottom>
      <diagonal/>
    </border>
    <border>
      <left style="thin">
        <color indexed="17"/>
      </left>
      <right style="thin">
        <color indexed="17"/>
      </right>
      <top style="thin">
        <color indexed="17"/>
      </top>
      <bottom/>
      <diagonal/>
    </border>
    <border>
      <left style="thin">
        <color indexed="17"/>
      </left>
      <right/>
      <top/>
      <bottom/>
      <diagonal/>
    </border>
    <border>
      <left/>
      <right/>
      <top/>
      <bottom/>
      <diagonal/>
    </border>
    <border>
      <left/>
      <right style="thin">
        <color indexed="17"/>
      </right>
      <top/>
      <bottom/>
      <diagonal/>
    </border>
    <border>
      <left/>
      <right style="thin">
        <color indexed="17"/>
      </right>
      <top style="thin">
        <color indexed="17"/>
      </top>
      <bottom style="thin">
        <color indexed="17"/>
      </bottom>
      <diagonal/>
    </border>
    <border>
      <left style="thin">
        <color indexed="17"/>
      </left>
      <right/>
      <top/>
      <bottom style="thin">
        <color indexed="17"/>
      </bottom>
      <diagonal/>
    </border>
    <border>
      <left style="thin">
        <color indexed="17"/>
      </left>
      <right/>
      <top style="thin">
        <color indexed="17"/>
      </top>
      <bottom style="thin">
        <color indexed="17"/>
      </bottom>
      <diagonal/>
    </border>
    <border>
      <left style="thin">
        <color indexed="17"/>
      </left>
      <right style="thin">
        <color indexed="17"/>
      </right>
      <top style="thin">
        <color indexed="17"/>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17"/>
      </right>
      <top style="thin">
        <color indexed="17"/>
      </top>
      <bottom style="thin">
        <color indexed="17"/>
      </bottom>
      <diagonal/>
    </border>
    <border>
      <left style="thin">
        <color indexed="17"/>
      </left>
      <right style="thin">
        <color indexed="17"/>
      </right>
      <top style="thin">
        <color indexed="8"/>
      </top>
      <bottom style="thin">
        <color indexed="17"/>
      </bottom>
      <diagonal/>
    </border>
  </borders>
  <cellStyleXfs count="1">
    <xf numFmtId="0" fontId="0" applyNumberFormat="0" applyFont="1" applyFill="0" applyBorder="0" applyAlignment="1" applyProtection="0">
      <alignment vertical="top" wrapText="1"/>
    </xf>
  </cellStyleXfs>
  <cellXfs count="115">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4" fillId="4" borderId="1" applyNumberFormat="1" applyFont="1" applyFill="1" applyBorder="1" applyAlignment="1" applyProtection="0">
      <alignment vertical="top"/>
    </xf>
    <xf numFmtId="49" fontId="5" fillId="4" borderId="1" applyNumberFormat="1" applyFont="1" applyFill="1" applyBorder="1" applyAlignment="1" applyProtection="0">
      <alignment vertical="top"/>
    </xf>
    <xf numFmtId="49" fontId="4" fillId="5"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1" applyFont="1" applyFill="0" applyBorder="1" applyAlignment="1" applyProtection="0">
      <alignment vertical="top"/>
    </xf>
    <xf numFmtId="0" fontId="5" borderId="4" applyNumberFormat="1" applyFont="1" applyFill="0" applyBorder="1" applyAlignment="1" applyProtection="0">
      <alignment vertical="top"/>
    </xf>
    <xf numFmtId="59" fontId="5" borderId="4" applyNumberFormat="1" applyFont="1" applyFill="0" applyBorder="1" applyAlignment="1" applyProtection="0">
      <alignment vertical="top"/>
    </xf>
    <xf numFmtId="0" fontId="0" borderId="4" applyNumberFormat="0" applyFont="1" applyFill="0" applyBorder="1" applyAlignment="1" applyProtection="0">
      <alignment vertical="top"/>
    </xf>
    <xf numFmtId="49" fontId="4" fillId="5"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59" fontId="5" borderId="7" applyNumberFormat="1" applyFont="1" applyFill="0" applyBorder="1" applyAlignment="1" applyProtection="0">
      <alignment vertical="top"/>
    </xf>
    <xf numFmtId="0" fontId="0" borderId="7" applyNumberFormat="0" applyFont="1" applyFill="0" applyBorder="1" applyAlignment="1" applyProtection="0">
      <alignment vertical="top"/>
    </xf>
    <xf numFmtId="4" fontId="5" borderId="7" applyNumberFormat="1" applyFont="1" applyFill="0" applyBorder="1" applyAlignment="1" applyProtection="0">
      <alignment vertical="top"/>
    </xf>
    <xf numFmtId="0" fontId="5" borderId="7" applyNumberFormat="1" applyFont="1" applyFill="0" applyBorder="1" applyAlignment="1" applyProtection="0">
      <alignment vertical="top"/>
    </xf>
    <xf numFmtId="49" fontId="5" borderId="7" applyNumberFormat="1" applyFont="1" applyFill="0" applyBorder="1" applyAlignment="1" applyProtection="0">
      <alignment vertical="top"/>
    </xf>
    <xf numFmtId="0" fontId="0" applyNumberFormat="1" applyFont="1" applyFill="0" applyBorder="0" applyAlignment="1" applyProtection="0">
      <alignment vertical="top" wrapText="1"/>
    </xf>
    <xf numFmtId="0" fontId="4" fillId="4" borderId="1" applyNumberFormat="0" applyFont="1" applyFill="1" applyBorder="1" applyAlignment="1" applyProtection="0">
      <alignment vertical="top" wrapText="1"/>
    </xf>
    <xf numFmtId="0" fontId="4" fillId="5" borderId="2" applyNumberFormat="0" applyFont="1" applyFill="1" applyBorder="1" applyAlignment="1" applyProtection="0">
      <alignment vertical="top" wrapText="1"/>
    </xf>
    <xf numFmtId="0" fontId="0" borderId="3" applyNumberFormat="0" applyFont="1" applyFill="0" applyBorder="1" applyAlignment="1" applyProtection="0">
      <alignment vertical="top" wrapText="1"/>
    </xf>
    <xf numFmtId="0" fontId="0" borderId="4" applyNumberFormat="0" applyFont="1" applyFill="0" applyBorder="1" applyAlignment="1" applyProtection="0">
      <alignment vertical="top" wrapText="1"/>
    </xf>
    <xf numFmtId="0" fontId="4" fillId="5" borderId="5" applyNumberFormat="0" applyFont="1" applyFill="1" applyBorder="1" applyAlignment="1" applyProtection="0">
      <alignment vertical="top" wrapText="1"/>
    </xf>
    <xf numFmtId="0" fontId="0" borderId="6" applyNumberFormat="0" applyFont="1" applyFill="0" applyBorder="1" applyAlignment="1" applyProtection="0">
      <alignment vertical="top" wrapText="1"/>
    </xf>
    <xf numFmtId="0" fontId="0" borderId="7" applyNumberFormat="0" applyFont="1" applyFill="0" applyBorder="1" applyAlignment="1" applyProtection="0">
      <alignment vertical="top" wrapText="1"/>
    </xf>
    <xf numFmtId="0" fontId="6" applyNumberFormat="1" applyFont="1" applyFill="0" applyBorder="0" applyAlignment="1" applyProtection="0">
      <alignment vertical="bottom"/>
    </xf>
    <xf numFmtId="49" fontId="8" fillId="6" borderId="8" applyNumberFormat="1" applyFont="1" applyFill="1" applyBorder="1" applyAlignment="1" applyProtection="0">
      <alignment horizontal="center" vertical="bottom"/>
    </xf>
    <xf numFmtId="49" fontId="8" fillId="6" borderId="9" applyNumberFormat="1" applyFont="1" applyFill="1" applyBorder="1" applyAlignment="1" applyProtection="0">
      <alignment horizontal="center" vertical="bottom"/>
    </xf>
    <xf numFmtId="49" fontId="8" fillId="6" borderId="10" applyNumberFormat="1" applyFont="1" applyFill="1" applyBorder="1" applyAlignment="1" applyProtection="0">
      <alignment horizontal="center" vertical="bottom"/>
    </xf>
    <xf numFmtId="49" fontId="8" borderId="11" applyNumberFormat="1" applyFont="1" applyFill="0" applyBorder="1" applyAlignment="1" applyProtection="0">
      <alignment vertical="bottom"/>
    </xf>
    <xf numFmtId="2" fontId="8" borderId="11" applyNumberFormat="1" applyFont="1" applyFill="0" applyBorder="1" applyAlignment="1" applyProtection="0">
      <alignment vertical="bottom"/>
    </xf>
    <xf numFmtId="60" fontId="8" borderId="11" applyNumberFormat="1" applyFont="1" applyFill="0" applyBorder="1" applyAlignment="1" applyProtection="0">
      <alignment vertical="bottom"/>
    </xf>
    <xf numFmtId="61" fontId="8" borderId="11" applyNumberFormat="1" applyFont="1" applyFill="0" applyBorder="1" applyAlignment="1" applyProtection="0">
      <alignment vertical="bottom"/>
    </xf>
    <xf numFmtId="49" fontId="8" borderId="12" applyNumberFormat="1" applyFont="1" applyFill="0" applyBorder="1" applyAlignment="1" applyProtection="0">
      <alignment vertical="bottom"/>
    </xf>
    <xf numFmtId="2" fontId="8" borderId="12" applyNumberFormat="1" applyFont="1" applyFill="0" applyBorder="1" applyAlignment="1" applyProtection="0">
      <alignment vertical="bottom"/>
    </xf>
    <xf numFmtId="60" fontId="8" borderId="12" applyNumberFormat="1" applyFont="1" applyFill="0" applyBorder="1" applyAlignment="1" applyProtection="0">
      <alignment vertical="bottom"/>
    </xf>
    <xf numFmtId="61" fontId="8" borderId="12" applyNumberFormat="1" applyFont="1" applyFill="0" applyBorder="1" applyAlignment="1" applyProtection="0">
      <alignment vertical="bottom"/>
    </xf>
    <xf numFmtId="0" fontId="6" borderId="12" applyNumberFormat="0" applyFont="1" applyFill="0" applyBorder="1" applyAlignment="1" applyProtection="0">
      <alignment vertical="bottom"/>
    </xf>
    <xf numFmtId="49" fontId="6" borderId="12" applyNumberFormat="1" applyFont="1" applyFill="0" applyBorder="1" applyAlignment="1" applyProtection="0">
      <alignment vertical="bottom"/>
    </xf>
    <xf numFmtId="0" fontId="8" borderId="12" applyNumberFormat="0" applyFont="1" applyFill="0" applyBorder="1" applyAlignment="1" applyProtection="0">
      <alignment vertical="bottom"/>
    </xf>
    <xf numFmtId="0" fontId="0" applyNumberFormat="1" applyFont="1" applyFill="0" applyBorder="0" applyAlignment="1" applyProtection="0">
      <alignment vertical="top" wrapText="1"/>
    </xf>
    <xf numFmtId="0" fontId="6" applyNumberFormat="1" applyFont="1" applyFill="0" applyBorder="0" applyAlignment="1" applyProtection="0">
      <alignment vertical="bottom"/>
    </xf>
    <xf numFmtId="0" fontId="0" applyNumberFormat="1" applyFont="1" applyFill="0" applyBorder="0" applyAlignment="1" applyProtection="0">
      <alignment vertical="top" wrapText="1"/>
    </xf>
    <xf numFmtId="49" fontId="9" borderId="7" applyNumberFormat="1" applyFont="1" applyFill="0" applyBorder="1" applyAlignment="1" applyProtection="0">
      <alignment horizontal="center" vertical="center" wrapText="1"/>
    </xf>
    <xf numFmtId="0" fontId="5" borderId="7" applyNumberFormat="1" applyFont="1" applyFill="0" applyBorder="1" applyAlignment="1" applyProtection="0">
      <alignment vertical="center" wrapText="1"/>
    </xf>
    <xf numFmtId="49" fontId="5" borderId="7" applyNumberFormat="1" applyFont="1" applyFill="0" applyBorder="1" applyAlignment="1" applyProtection="0">
      <alignment vertical="center" wrapText="1"/>
    </xf>
    <xf numFmtId="62" fontId="5" borderId="7" applyNumberFormat="1" applyFont="1" applyFill="0" applyBorder="1" applyAlignment="1" applyProtection="0">
      <alignment vertical="center" wrapText="1"/>
    </xf>
    <xf numFmtId="0" fontId="0" applyNumberFormat="1" applyFont="1" applyFill="0" applyBorder="0" applyAlignment="1" applyProtection="0">
      <alignment vertical="top"/>
    </xf>
    <xf numFmtId="0" fontId="4" fillId="5" borderId="2" applyNumberFormat="1" applyFont="1" applyFill="1" applyBorder="1" applyAlignment="1" applyProtection="0">
      <alignment vertical="top"/>
    </xf>
    <xf numFmtId="0" fontId="4" fillId="5" borderId="5" applyNumberFormat="1" applyFont="1" applyFill="1" applyBorder="1" applyAlignment="1" applyProtection="0">
      <alignment vertical="top"/>
    </xf>
    <xf numFmtId="0" fontId="0" applyNumberFormat="1" applyFont="1" applyFill="0" applyBorder="0" applyAlignment="1" applyProtection="0">
      <alignment vertical="top" wrapText="1"/>
    </xf>
    <xf numFmtId="49" fontId="9" borderId="7" applyNumberFormat="1" applyFont="1" applyFill="0" applyBorder="1" applyAlignment="1" applyProtection="0">
      <alignment vertical="center" wrapText="1"/>
    </xf>
    <xf numFmtId="63" fontId="5" borderId="7" applyNumberFormat="1" applyFont="1" applyFill="0" applyBorder="1" applyAlignment="1" applyProtection="0">
      <alignment vertical="center" wrapText="1"/>
    </xf>
    <xf numFmtId="0" fontId="0" applyNumberFormat="1" applyFont="1" applyFill="0" applyBorder="0" applyAlignment="1" applyProtection="0">
      <alignment vertical="top" wrapText="1"/>
    </xf>
    <xf numFmtId="0" fontId="0" borderId="7" applyNumberFormat="0" applyFont="1" applyFill="0" applyBorder="1" applyAlignment="1" applyProtection="0">
      <alignment vertical="center" wrapText="1"/>
    </xf>
    <xf numFmtId="0" fontId="9" borderId="7" applyNumberFormat="1" applyFont="1" applyFill="0" applyBorder="1" applyAlignment="1" applyProtection="0">
      <alignment vertical="center" wrapText="1"/>
    </xf>
    <xf numFmtId="0" fontId="6" applyNumberFormat="1" applyFont="1" applyFill="0" applyBorder="0" applyAlignment="1" applyProtection="0">
      <alignment vertical="bottom"/>
    </xf>
    <xf numFmtId="49" fontId="10" borderId="13" applyNumberFormat="1" applyFont="1" applyFill="0" applyBorder="1" applyAlignment="1" applyProtection="0">
      <alignment vertical="bottom"/>
    </xf>
    <xf numFmtId="0" fontId="6" borderId="13" applyNumberFormat="0" applyFont="1" applyFill="0" applyBorder="1" applyAlignment="1" applyProtection="0">
      <alignment vertical="bottom"/>
    </xf>
    <xf numFmtId="49" fontId="11" fillId="6" borderId="14" applyNumberFormat="1" applyFont="1" applyFill="1" applyBorder="1" applyAlignment="1" applyProtection="0">
      <alignment vertical="bottom"/>
    </xf>
    <xf numFmtId="49" fontId="11" fillId="6" borderId="15" applyNumberFormat="1" applyFont="1" applyFill="1" applyBorder="1" applyAlignment="1" applyProtection="0">
      <alignment vertical="bottom"/>
    </xf>
    <xf numFmtId="49" fontId="11" fillId="6" borderId="16" applyNumberFormat="1" applyFont="1" applyFill="1" applyBorder="1" applyAlignment="1" applyProtection="0">
      <alignment vertical="bottom"/>
    </xf>
    <xf numFmtId="49" fontId="8" fillId="7" borderId="11" applyNumberFormat="1" applyFont="1" applyFill="1" applyBorder="1" applyAlignment="1" applyProtection="0">
      <alignment vertical="top" wrapText="1"/>
    </xf>
    <xf numFmtId="0" fontId="8" fillId="7" borderId="11" applyNumberFormat="1" applyFont="1" applyFill="1" applyBorder="1" applyAlignment="1" applyProtection="0">
      <alignment vertical="top" wrapText="1"/>
    </xf>
    <xf numFmtId="49" fontId="8" fillId="7" borderId="12" applyNumberFormat="1" applyFont="1" applyFill="1" applyBorder="1" applyAlignment="1" applyProtection="0">
      <alignment vertical="top" wrapText="1"/>
    </xf>
    <xf numFmtId="0" fontId="8" fillId="7" borderId="12" applyNumberFormat="1" applyFont="1" applyFill="1" applyBorder="1" applyAlignment="1" applyProtection="0">
      <alignment vertical="top" wrapText="1"/>
    </xf>
    <xf numFmtId="49" fontId="11" borderId="13" applyNumberFormat="1" applyFont="1" applyFill="0" applyBorder="1" applyAlignment="1" applyProtection="0">
      <alignment vertical="bottom"/>
    </xf>
    <xf numFmtId="0" fontId="6" borderId="17" applyNumberFormat="0" applyFont="1" applyFill="0" applyBorder="1" applyAlignment="1" applyProtection="0">
      <alignment vertical="bottom"/>
    </xf>
    <xf numFmtId="0" fontId="8" borderId="11" applyNumberFormat="1" applyFont="1" applyFill="0" applyBorder="1" applyAlignment="1" applyProtection="0">
      <alignment vertical="bottom"/>
    </xf>
    <xf numFmtId="0" fontId="8" borderId="12" applyNumberFormat="1" applyFont="1" applyFill="0" applyBorder="1" applyAlignment="1" applyProtection="0">
      <alignment vertical="bottom"/>
    </xf>
    <xf numFmtId="0" fontId="6" applyNumberFormat="1" applyFont="1" applyFill="0" applyBorder="0" applyAlignment="1" applyProtection="0">
      <alignment vertical="bottom"/>
    </xf>
    <xf numFmtId="49" fontId="11" fillId="6" borderId="8" applyNumberFormat="1" applyFont="1" applyFill="1" applyBorder="1" applyAlignment="1" applyProtection="0">
      <alignment vertical="bottom"/>
    </xf>
    <xf numFmtId="49" fontId="8" fillId="6" borderId="9" applyNumberFormat="1" applyFont="1" applyFill="1" applyBorder="1" applyAlignment="1" applyProtection="0">
      <alignment vertical="bottom"/>
    </xf>
    <xf numFmtId="0" fontId="6" fillId="7" borderId="17" applyNumberFormat="0" applyFont="1" applyFill="1" applyBorder="1" applyAlignment="1" applyProtection="0">
      <alignment vertical="bottom"/>
    </xf>
    <xf numFmtId="49" fontId="8" fillId="7" borderId="12" applyNumberFormat="1" applyFont="1" applyFill="1" applyBorder="1" applyAlignment="1" applyProtection="0">
      <alignment vertical="bottom"/>
    </xf>
    <xf numFmtId="0" fontId="6" fillId="7" borderId="12" applyNumberFormat="0" applyFont="1" applyFill="1" applyBorder="1" applyAlignment="1" applyProtection="0">
      <alignment vertical="bottom"/>
    </xf>
    <xf numFmtId="49" fontId="11" fillId="5" borderId="11" applyNumberFormat="1" applyFont="1" applyFill="1" applyBorder="1" applyAlignment="1" applyProtection="0">
      <alignment vertical="bottom"/>
    </xf>
    <xf numFmtId="49" fontId="8" fillId="7" borderId="11" applyNumberFormat="1" applyFont="1" applyFill="1" applyBorder="1" applyAlignment="1" applyProtection="0">
      <alignment vertical="bottom"/>
    </xf>
    <xf numFmtId="2" fontId="8" fillId="7" borderId="11" applyNumberFormat="1" applyFont="1" applyFill="1" applyBorder="1" applyAlignment="1" applyProtection="0">
      <alignment vertical="bottom"/>
    </xf>
    <xf numFmtId="0" fontId="8" fillId="7" borderId="11" applyNumberFormat="0" applyFont="1" applyFill="1" applyBorder="1" applyAlignment="1" applyProtection="0">
      <alignment vertical="bottom"/>
    </xf>
    <xf numFmtId="1" fontId="8" fillId="7" borderId="12" applyNumberFormat="1" applyFont="1" applyFill="1" applyBorder="1" applyAlignment="1" applyProtection="0">
      <alignment vertical="bottom"/>
    </xf>
    <xf numFmtId="49" fontId="11" fillId="5" borderId="12" applyNumberFormat="1" applyFont="1" applyFill="1" applyBorder="1" applyAlignment="1" applyProtection="0">
      <alignment vertical="bottom"/>
    </xf>
    <xf numFmtId="2" fontId="8" fillId="7" borderId="12" applyNumberFormat="1" applyFont="1" applyFill="1" applyBorder="1" applyAlignment="1" applyProtection="0">
      <alignment vertical="bottom"/>
    </xf>
    <xf numFmtId="0" fontId="8" fillId="7" borderId="12" applyNumberFormat="0" applyFont="1" applyFill="1" applyBorder="1" applyAlignment="1" applyProtection="0">
      <alignment vertical="bottom"/>
    </xf>
    <xf numFmtId="2" fontId="6" fillId="7" borderId="12" applyNumberFormat="1" applyFont="1" applyFill="1" applyBorder="1" applyAlignment="1" applyProtection="0">
      <alignment vertical="bottom"/>
    </xf>
    <xf numFmtId="62" fontId="6" fillId="7" borderId="12" applyNumberFormat="1" applyFont="1" applyFill="1" applyBorder="1" applyAlignment="1" applyProtection="0">
      <alignment vertical="bottom"/>
    </xf>
    <xf numFmtId="49" fontId="12" fillId="7" borderId="12" applyNumberFormat="1" applyFont="1" applyFill="1" applyBorder="1" applyAlignment="1" applyProtection="0">
      <alignment vertical="bottom"/>
    </xf>
    <xf numFmtId="0" fontId="6" applyNumberFormat="1" applyFont="1" applyFill="0" applyBorder="0" applyAlignment="1" applyProtection="0">
      <alignment vertical="bottom"/>
    </xf>
    <xf numFmtId="49" fontId="8" fillId="6" borderId="8" applyNumberFormat="1" applyFont="1" applyFill="1" applyBorder="1" applyAlignment="1" applyProtection="0">
      <alignment vertical="bottom"/>
    </xf>
    <xf numFmtId="49" fontId="8" fillId="6" borderId="10" applyNumberFormat="1" applyFont="1" applyFill="1" applyBorder="1" applyAlignment="1" applyProtection="0">
      <alignment vertical="bottom"/>
    </xf>
    <xf numFmtId="1" fontId="8" fillId="7" borderId="11" applyNumberFormat="1" applyFont="1" applyFill="1" applyBorder="1" applyAlignment="1" applyProtection="0">
      <alignment vertical="bottom"/>
    </xf>
    <xf numFmtId="1" fontId="8" fillId="7" borderId="18" applyNumberFormat="1" applyFont="1" applyFill="1" applyBorder="1" applyAlignment="1" applyProtection="0">
      <alignment vertical="bottom"/>
    </xf>
    <xf numFmtId="0" fontId="8" fillId="8" borderId="16" applyNumberFormat="0" applyFont="1" applyFill="1" applyBorder="1" applyAlignment="1" applyProtection="0">
      <alignment vertical="bottom"/>
    </xf>
    <xf numFmtId="1" fontId="8" fillId="7" borderId="19" applyNumberFormat="1" applyFont="1" applyFill="1" applyBorder="1" applyAlignment="1" applyProtection="0">
      <alignment vertical="bottom"/>
    </xf>
    <xf numFmtId="0" fontId="8" fillId="9" borderId="16" applyNumberFormat="0" applyFont="1" applyFill="1" applyBorder="1" applyAlignment="1" applyProtection="0">
      <alignment vertical="bottom"/>
    </xf>
    <xf numFmtId="0" fontId="8" fillId="10" borderId="16" applyNumberFormat="0" applyFont="1" applyFill="1" applyBorder="1" applyAlignment="1" applyProtection="0">
      <alignment vertical="bottom"/>
    </xf>
    <xf numFmtId="0" fontId="6" fillId="7" borderId="11" applyNumberFormat="0" applyFont="1" applyFill="1" applyBorder="1" applyAlignment="1" applyProtection="0">
      <alignment vertical="bottom"/>
    </xf>
    <xf numFmtId="49" fontId="8" fillId="7" borderId="20" applyNumberFormat="1" applyFont="1" applyFill="1" applyBorder="1" applyAlignment="1" applyProtection="0">
      <alignment vertical="bottom"/>
    </xf>
    <xf numFmtId="0" fontId="6" fillId="7" borderId="20" applyNumberFormat="0" applyFont="1" applyFill="1" applyBorder="1" applyAlignment="1" applyProtection="0">
      <alignment vertical="bottom"/>
    </xf>
    <xf numFmtId="49" fontId="8" fillId="6" borderId="21" applyNumberFormat="1" applyFont="1" applyFill="1" applyBorder="1" applyAlignment="1" applyProtection="0">
      <alignment vertical="bottom"/>
    </xf>
    <xf numFmtId="49" fontId="8" fillId="6" borderId="22" applyNumberFormat="1" applyFont="1" applyFill="1" applyBorder="1" applyAlignment="1" applyProtection="0">
      <alignment vertical="bottom"/>
    </xf>
    <xf numFmtId="0" fontId="6" fillId="7" borderId="23" applyNumberFormat="0" applyFont="1" applyFill="1" applyBorder="1" applyAlignment="1" applyProtection="0">
      <alignment vertical="bottom"/>
    </xf>
    <xf numFmtId="0" fontId="6" fillId="7" borderId="24" applyNumberFormat="0" applyFont="1" applyFill="1" applyBorder="1" applyAlignment="1" applyProtection="0">
      <alignment vertical="bottom"/>
    </xf>
    <xf numFmtId="49" fontId="8" fillId="7" borderId="25" applyNumberFormat="1" applyFont="1" applyFill="1" applyBorder="1" applyAlignment="1" applyProtection="0">
      <alignment vertical="bottom"/>
    </xf>
    <xf numFmtId="1" fontId="8" fillId="7" borderId="25" applyNumberFormat="1" applyFont="1" applyFill="1" applyBorder="1" applyAlignment="1" applyProtection="0">
      <alignment vertical="bottom"/>
    </xf>
    <xf numFmtId="0" fontId="6" fillId="7" borderId="25"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rgbColor rgb="ffddebf7"/>
      <rgbColor rgb="ffaaaaaa"/>
      <rgbColor rgb="ffffffff"/>
      <rgbColor rgb="ffe6ebff"/>
      <rgbColor rgb="ffb8b8b8"/>
      <rgbColor rgb="ffd9f2d9"/>
      <rgbColor rgb="fff2f2f2"/>
      <rgbColor rgb="fff8d7d7"/>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 Id="rId15" Type="http://schemas.openxmlformats.org/officeDocument/2006/relationships/worksheet" Target="worksheets/sheet11.xml"/><Relationship Id="rId16" Type="http://schemas.openxmlformats.org/officeDocument/2006/relationships/worksheet" Target="worksheets/sheet12.xml"/><Relationship Id="rId17" Type="http://schemas.openxmlformats.org/officeDocument/2006/relationships/worksheet" Target="worksheets/sheet13.xml"/></Relationships>

</file>

<file path=xl/charts/chart1.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0" i="0" strike="noStrike" sz="1200" u="none">
                <a:solidFill>
                  <a:srgbClr val="000000"/>
                </a:solidFill>
                <a:latin typeface="Helvetica Neue"/>
              </a:defRPr>
            </a:pPr>
            <a:r>
              <a:rPr b="0" i="0" strike="noStrike" sz="1200" u="none">
                <a:solidFill>
                  <a:srgbClr val="000000"/>
                </a:solidFill>
                <a:latin typeface="Helvetica Neue"/>
              </a:rPr>
              <a:t>Growth of ₹100: Top-sector strategy vs Equal-weight</a:t>
            </a:r>
          </a:p>
        </c:rich>
      </c:tx>
      <c:layout>
        <c:manualLayout>
          <c:xMode val="edge"/>
          <c:yMode val="edge"/>
          <c:x val="0.144854"/>
          <c:y val="0"/>
          <c:w val="0.710292"/>
          <c:h val="0.0809274"/>
        </c:manualLayout>
      </c:layout>
      <c:overlay val="1"/>
      <c:spPr>
        <a:noFill/>
        <a:effectLst/>
      </c:spPr>
    </c:title>
    <c:autoTitleDeleted val="1"/>
    <c:plotArea>
      <c:layout>
        <c:manualLayout>
          <c:layoutTarget val="inner"/>
          <c:xMode val="edge"/>
          <c:yMode val="edge"/>
          <c:x val="0.0724219"/>
          <c:y val="0.0809274"/>
          <c:w val="0.921586"/>
          <c:h val="0.855419"/>
        </c:manualLayout>
      </c:layout>
      <c:lineChart>
        <c:grouping val="standard"/>
        <c:varyColors val="0"/>
        <c:ser>
          <c:idx val="0"/>
          <c:order val="0"/>
          <c:tx>
            <c:v>Strategy Value(Rs)</c:v>
          </c:tx>
          <c:spPr>
            <a:solidFill>
              <a:srgbClr val="FFFFFF"/>
            </a:solidFill>
            <a:ln w="50800" cap="flat">
              <a:solidFill>
                <a:schemeClr val="accent1"/>
              </a:solidFill>
              <a:prstDash val="solid"/>
              <a:miter lim="400000"/>
            </a:ln>
            <a:effectLst/>
          </c:spPr>
          <c:marker>
            <c:symbol val="none"/>
            <c:size val="4"/>
            <c:spPr>
              <a:solidFill>
                <a:srgbClr val="FFFFFF"/>
              </a:solidFill>
              <a:ln w="50800" cap="flat">
                <a:solidFill>
                  <a:schemeClr val="accent1"/>
                </a:solidFill>
                <a:prstDash val="solid"/>
                <a:miter lim="400000"/>
              </a:ln>
              <a:effectLst/>
            </c:spPr>
          </c:marker>
          <c:dLbls>
            <c:numFmt formatCode="#,##0" sourceLinked="1"/>
            <c:txPr>
              <a:bodyPr/>
              <a:lstStyle/>
              <a:p>
                <a:pPr>
                  <a:defRPr b="0" i="0" strike="noStrike" sz="1200" u="none">
                    <a:solidFill>
                      <a:srgbClr val="000000"/>
                    </a:solidFill>
                    <a:latin typeface="Helvetica Neue"/>
                  </a:defRPr>
                </a:pPr>
              </a:p>
            </c:txPr>
            <c:dLblPos val="b"/>
            <c:showLegendKey val="0"/>
            <c:showVal val="0"/>
            <c:showCatName val="0"/>
            <c:showSerName val="0"/>
            <c:showPercent val="0"/>
            <c:showBubbleSize val="0"/>
            <c:showLeaderLines val="0"/>
          </c:dLbls>
          <c:cat>
            <c:strRef>
              <c:f>'5_Backtest'!$A$1:$A$142</c:f>
              <c:strCache>
                <c:ptCount val="142"/>
                <c:pt idx="0">
                  <c:v>Month</c:v>
                </c:pt>
                <c:pt idx="1">
                  <c:v>2015-02-01</c:v>
                </c:pt>
                <c:pt idx="2">
                  <c:v>2015-03-01</c:v>
                </c:pt>
                <c:pt idx="3">
                  <c:v>2015-04-01</c:v>
                </c:pt>
                <c:pt idx="4">
                  <c:v>2015-05-01</c:v>
                </c:pt>
                <c:pt idx="5">
                  <c:v>2015-06-01</c:v>
                </c:pt>
                <c:pt idx="6">
                  <c:v>2015-07-01</c:v>
                </c:pt>
                <c:pt idx="7">
                  <c:v>2015-08-01</c:v>
                </c:pt>
                <c:pt idx="8">
                  <c:v>2015-09-01</c:v>
                </c:pt>
                <c:pt idx="9">
                  <c:v>2015-10-01</c:v>
                </c:pt>
                <c:pt idx="10">
                  <c:v>2015-11-01</c:v>
                </c:pt>
                <c:pt idx="11">
                  <c:v>2015-12-01</c:v>
                </c:pt>
                <c:pt idx="12">
                  <c:v>2016-01-01</c:v>
                </c:pt>
                <c:pt idx="13">
                  <c:v>2016-02-01</c:v>
                </c:pt>
                <c:pt idx="14">
                  <c:v>2016-03-01</c:v>
                </c:pt>
                <c:pt idx="15">
                  <c:v>2016-04-01</c:v>
                </c:pt>
                <c:pt idx="16">
                  <c:v>2016-05-01</c:v>
                </c:pt>
                <c:pt idx="17">
                  <c:v>2016-06-01</c:v>
                </c:pt>
                <c:pt idx="18">
                  <c:v>2016-07-01</c:v>
                </c:pt>
                <c:pt idx="19">
                  <c:v>2016-08-01</c:v>
                </c:pt>
                <c:pt idx="20">
                  <c:v>2016-09-01</c:v>
                </c:pt>
                <c:pt idx="21">
                  <c:v>2016-10-01</c:v>
                </c:pt>
                <c:pt idx="22">
                  <c:v>2016-11-01</c:v>
                </c:pt>
                <c:pt idx="23">
                  <c:v>2016-12-01</c:v>
                </c:pt>
                <c:pt idx="24">
                  <c:v>2017-01-01</c:v>
                </c:pt>
                <c:pt idx="25">
                  <c:v>2017-02-01</c:v>
                </c:pt>
                <c:pt idx="26">
                  <c:v>2017-03-01</c:v>
                </c:pt>
                <c:pt idx="27">
                  <c:v>2017-04-01</c:v>
                </c:pt>
                <c:pt idx="28">
                  <c:v>2017-05-01</c:v>
                </c:pt>
                <c:pt idx="29">
                  <c:v>2017-06-01</c:v>
                </c:pt>
                <c:pt idx="30">
                  <c:v>2017-07-01</c:v>
                </c:pt>
                <c:pt idx="31">
                  <c:v>2017-08-01</c:v>
                </c:pt>
                <c:pt idx="32">
                  <c:v>2017-09-01</c:v>
                </c:pt>
                <c:pt idx="33">
                  <c:v>2017-10-01</c:v>
                </c:pt>
                <c:pt idx="34">
                  <c:v>2017-11-01</c:v>
                </c:pt>
                <c:pt idx="35">
                  <c:v>2017-12-01</c:v>
                </c:pt>
                <c:pt idx="36">
                  <c:v>2018-01-01</c:v>
                </c:pt>
                <c:pt idx="37">
                  <c:v>2018-02-01</c:v>
                </c:pt>
                <c:pt idx="38">
                  <c:v>2018-03-01</c:v>
                </c:pt>
                <c:pt idx="39">
                  <c:v>2018-04-01</c:v>
                </c:pt>
                <c:pt idx="40">
                  <c:v>2018-05-01</c:v>
                </c:pt>
                <c:pt idx="41">
                  <c:v>2018-06-01</c:v>
                </c:pt>
                <c:pt idx="42">
                  <c:v>2018-07-01</c:v>
                </c:pt>
                <c:pt idx="43">
                  <c:v>2018-08-01</c:v>
                </c:pt>
                <c:pt idx="44">
                  <c:v>2018-09-01</c:v>
                </c:pt>
                <c:pt idx="45">
                  <c:v>2018-10-01</c:v>
                </c:pt>
                <c:pt idx="46">
                  <c:v>2018-11-01</c:v>
                </c:pt>
                <c:pt idx="47">
                  <c:v>2018-12-01</c:v>
                </c:pt>
                <c:pt idx="48">
                  <c:v>2019-01-01</c:v>
                </c:pt>
                <c:pt idx="49">
                  <c:v>2019-02-01</c:v>
                </c:pt>
                <c:pt idx="50">
                  <c:v>2019-03-01</c:v>
                </c:pt>
                <c:pt idx="51">
                  <c:v>2019-04-01</c:v>
                </c:pt>
                <c:pt idx="52">
                  <c:v>2019-05-01</c:v>
                </c:pt>
                <c:pt idx="53">
                  <c:v>2019-06-01</c:v>
                </c:pt>
                <c:pt idx="54">
                  <c:v>2019-07-01</c:v>
                </c:pt>
                <c:pt idx="55">
                  <c:v>2019-08-01</c:v>
                </c:pt>
                <c:pt idx="56">
                  <c:v>2019-09-01</c:v>
                </c:pt>
                <c:pt idx="57">
                  <c:v>2019-10-01</c:v>
                </c:pt>
                <c:pt idx="58">
                  <c:v>2019-11-01</c:v>
                </c:pt>
                <c:pt idx="59">
                  <c:v>2019-12-01</c:v>
                </c:pt>
                <c:pt idx="60">
                  <c:v>2020-01-01</c:v>
                </c:pt>
                <c:pt idx="61">
                  <c:v>2020-02-01</c:v>
                </c:pt>
                <c:pt idx="62">
                  <c:v>2020-03-01</c:v>
                </c:pt>
                <c:pt idx="63">
                  <c:v>2020-04-01</c:v>
                </c:pt>
                <c:pt idx="64">
                  <c:v>2020-05-01</c:v>
                </c:pt>
                <c:pt idx="65">
                  <c:v>2020-06-01</c:v>
                </c:pt>
                <c:pt idx="66">
                  <c:v>2020-07-01</c:v>
                </c:pt>
                <c:pt idx="67">
                  <c:v>2020-08-01</c:v>
                </c:pt>
                <c:pt idx="68">
                  <c:v>2020-09-01</c:v>
                </c:pt>
                <c:pt idx="69">
                  <c:v>2020-10-01</c:v>
                </c:pt>
                <c:pt idx="70">
                  <c:v>2020-11-01</c:v>
                </c:pt>
                <c:pt idx="71">
                  <c:v>2020-12-01</c:v>
                </c:pt>
                <c:pt idx="72">
                  <c:v>2021-01-01</c:v>
                </c:pt>
                <c:pt idx="73">
                  <c:v>2021-02-01</c:v>
                </c:pt>
                <c:pt idx="74">
                  <c:v>2021-03-01</c:v>
                </c:pt>
                <c:pt idx="75">
                  <c:v>2021-04-01</c:v>
                </c:pt>
                <c:pt idx="76">
                  <c:v>2021-05-01</c:v>
                </c:pt>
                <c:pt idx="77">
                  <c:v>2021-06-01</c:v>
                </c:pt>
                <c:pt idx="78">
                  <c:v>2021-07-01</c:v>
                </c:pt>
                <c:pt idx="79">
                  <c:v>2021-08-01</c:v>
                </c:pt>
                <c:pt idx="80">
                  <c:v>2021-09-01</c:v>
                </c:pt>
                <c:pt idx="81">
                  <c:v>2021-10-01</c:v>
                </c:pt>
                <c:pt idx="82">
                  <c:v>2021-11-01</c:v>
                </c:pt>
                <c:pt idx="83">
                  <c:v>2021-12-01</c:v>
                </c:pt>
                <c:pt idx="84">
                  <c:v>2022-01-01</c:v>
                </c:pt>
                <c:pt idx="85">
                  <c:v>2022-02-01</c:v>
                </c:pt>
                <c:pt idx="86">
                  <c:v>2022-03-01</c:v>
                </c:pt>
                <c:pt idx="87">
                  <c:v>2022-04-01</c:v>
                </c:pt>
                <c:pt idx="88">
                  <c:v>2022-05-01</c:v>
                </c:pt>
                <c:pt idx="89">
                  <c:v>2022-06-01</c:v>
                </c:pt>
                <c:pt idx="90">
                  <c:v>2022-07-01</c:v>
                </c:pt>
                <c:pt idx="91">
                  <c:v>2022-08-01</c:v>
                </c:pt>
                <c:pt idx="92">
                  <c:v>2022-09-01</c:v>
                </c:pt>
                <c:pt idx="93">
                  <c:v>2022-10-01</c:v>
                </c:pt>
                <c:pt idx="94">
                  <c:v>2022-11-01</c:v>
                </c:pt>
                <c:pt idx="95">
                  <c:v>2022-12-01</c:v>
                </c:pt>
                <c:pt idx="96">
                  <c:v>2023-01-01</c:v>
                </c:pt>
                <c:pt idx="97">
                  <c:v>2023-02-01</c:v>
                </c:pt>
                <c:pt idx="98">
                  <c:v>2023-03-01</c:v>
                </c:pt>
                <c:pt idx="99">
                  <c:v>2023-04-01</c:v>
                </c:pt>
                <c:pt idx="100">
                  <c:v>2023-05-01</c:v>
                </c:pt>
                <c:pt idx="101">
                  <c:v>2023-06-01</c:v>
                </c:pt>
                <c:pt idx="102">
                  <c:v>2023-07-01</c:v>
                </c:pt>
                <c:pt idx="103">
                  <c:v>2023-08-01</c:v>
                </c:pt>
                <c:pt idx="104">
                  <c:v>2023-09-01</c:v>
                </c:pt>
                <c:pt idx="105">
                  <c:v>2023-10-01</c:v>
                </c:pt>
                <c:pt idx="106">
                  <c:v>2023-11-01</c:v>
                </c:pt>
                <c:pt idx="107">
                  <c:v>2023-12-01</c:v>
                </c:pt>
                <c:pt idx="108">
                  <c:v>2024-01-01</c:v>
                </c:pt>
                <c:pt idx="109">
                  <c:v>2024-02-01</c:v>
                </c:pt>
                <c:pt idx="110">
                  <c:v>2024-03-01</c:v>
                </c:pt>
                <c:pt idx="111">
                  <c:v>2024-04-01</c:v>
                </c:pt>
                <c:pt idx="112">
                  <c:v>2024-05-01</c:v>
                </c:pt>
                <c:pt idx="113">
                  <c:v>2024-06-01</c:v>
                </c:pt>
                <c:pt idx="114">
                  <c:v>2024-07-01</c:v>
                </c:pt>
                <c:pt idx="115">
                  <c:v>2024-08-01</c:v>
                </c:pt>
                <c:pt idx="116">
                  <c:v>2024-09-01</c:v>
                </c:pt>
                <c:pt idx="117">
                  <c:v>2024-10-01</c:v>
                </c:pt>
                <c:pt idx="118">
                  <c:v>2024-11-01</c:v>
                </c:pt>
                <c:pt idx="119">
                  <c:v>2024-12-01</c:v>
                </c:pt>
                <c:pt idx="120">
                  <c:v>2025-01-01</c:v>
                </c:pt>
                <c:pt idx="121">
                  <c:v>2025-02-01</c:v>
                </c:pt>
                <c:pt idx="122">
                  <c:v>2025-03-01</c:v>
                </c:pt>
                <c:pt idx="123">
                  <c:v>2025-04-01</c:v>
                </c:pt>
                <c:pt idx="124">
                  <c:v>2025-05-01</c:v>
                </c:pt>
                <c:pt idx="125">
                  <c:v>2025-06-01</c:v>
                </c:pt>
                <c:pt idx="126">
                  <c:v>2025-07-01</c:v>
                </c:pt>
                <c:pt idx="127">
                  <c:v>2025-08-01</c:v>
                </c:pt>
                <c:pt idx="128">
                  <c:v>2025-09-01</c:v>
                </c:pt>
                <c:pt idx="129">
                  <c:v>2025-10-01</c:v>
                </c:pt>
                <c:pt idx="130">
                  <c:v>2025-11-01</c:v>
                </c:pt>
                <c:pt idx="131">
                  <c:v>2025-12-01</c:v>
                </c:pt>
                <c:pt idx="132">
                  <c:v>2026-01-01</c:v>
                </c:pt>
                <c:pt idx="133">
                  <c:v>2026-02-01</c:v>
                </c:pt>
                <c:pt idx="134">
                  <c:v>2026-03-01</c:v>
                </c:pt>
                <c:pt idx="135">
                  <c:v>2026-04-01</c:v>
                </c:pt>
                <c:pt idx="136">
                  <c:v>2026-05-01</c:v>
                </c:pt>
                <c:pt idx="137">
                  <c:v>2026-06-01</c:v>
                </c:pt>
                <c:pt idx="138">
                  <c:v>2026-07-01</c:v>
                </c:pt>
                <c:pt idx="139">
                  <c:v>2026-08-01</c:v>
                </c:pt>
                <c:pt idx="140">
                  <c:v>2026-09-01</c:v>
                </c:pt>
                <c:pt idx="141">
                  <c:v>2026-10-01</c:v>
                </c:pt>
              </c:strCache>
            </c:strRef>
          </c:cat>
          <c:val>
            <c:numRef>
              <c:f>'5_Backtest'!$E$1:$E$142</c:f>
              <c:numCache>
                <c:ptCount val="141"/>
                <c:pt idx="1">
                  <c:v>102.860000</c:v>
                </c:pt>
                <c:pt idx="2">
                  <c:v>97.963864</c:v>
                </c:pt>
                <c:pt idx="3">
                  <c:v>90.420646</c:v>
                </c:pt>
                <c:pt idx="4">
                  <c:v>93.115182</c:v>
                </c:pt>
                <c:pt idx="5">
                  <c:v>96.150737</c:v>
                </c:pt>
                <c:pt idx="6">
                  <c:v>100.121762</c:v>
                </c:pt>
                <c:pt idx="7">
                  <c:v>100.041665</c:v>
                </c:pt>
                <c:pt idx="8">
                  <c:v>97.310527</c:v>
                </c:pt>
                <c:pt idx="9">
                  <c:v>93.038595</c:v>
                </c:pt>
                <c:pt idx="10">
                  <c:v>81.846052</c:v>
                </c:pt>
                <c:pt idx="11">
                  <c:v>81.469560</c:v>
                </c:pt>
                <c:pt idx="12">
                  <c:v>79.514291</c:v>
                </c:pt>
                <c:pt idx="13">
                  <c:v>72.087656</c:v>
                </c:pt>
                <c:pt idx="14">
                  <c:v>78.784599</c:v>
                </c:pt>
                <c:pt idx="15">
                  <c:v>81.195408</c:v>
                </c:pt>
                <c:pt idx="16">
                  <c:v>78.207417</c:v>
                </c:pt>
                <c:pt idx="17">
                  <c:v>80.561460</c:v>
                </c:pt>
                <c:pt idx="18">
                  <c:v>84.420354</c:v>
                </c:pt>
                <c:pt idx="19">
                  <c:v>88.962169</c:v>
                </c:pt>
                <c:pt idx="20">
                  <c:v>85.981937</c:v>
                </c:pt>
                <c:pt idx="21">
                  <c:v>85.311277</c:v>
                </c:pt>
                <c:pt idx="22">
                  <c:v>81.378428</c:v>
                </c:pt>
                <c:pt idx="23">
                  <c:v>83.591921</c:v>
                </c:pt>
                <c:pt idx="24">
                  <c:v>79.194986</c:v>
                </c:pt>
                <c:pt idx="25">
                  <c:v>83.471515</c:v>
                </c:pt>
                <c:pt idx="26">
                  <c:v>83.621764</c:v>
                </c:pt>
                <c:pt idx="27">
                  <c:v>85.812654</c:v>
                </c:pt>
                <c:pt idx="28">
                  <c:v>92.360159</c:v>
                </c:pt>
                <c:pt idx="29">
                  <c:v>91.408850</c:v>
                </c:pt>
                <c:pt idx="30">
                  <c:v>89.260742</c:v>
                </c:pt>
                <c:pt idx="31">
                  <c:v>85.449308</c:v>
                </c:pt>
                <c:pt idx="32">
                  <c:v>83.501064</c:v>
                </c:pt>
                <c:pt idx="33">
                  <c:v>87.851469</c:v>
                </c:pt>
                <c:pt idx="34">
                  <c:v>89.661210</c:v>
                </c:pt>
                <c:pt idx="35">
                  <c:v>94.207033</c:v>
                </c:pt>
                <c:pt idx="36">
                  <c:v>91.540974</c:v>
                </c:pt>
                <c:pt idx="37">
                  <c:v>89.939007</c:v>
                </c:pt>
                <c:pt idx="38">
                  <c:v>90.640531</c:v>
                </c:pt>
                <c:pt idx="39">
                  <c:v>101.834637</c:v>
                </c:pt>
                <c:pt idx="40">
                  <c:v>105.897839</c:v>
                </c:pt>
                <c:pt idx="41">
                  <c:v>102.879750</c:v>
                </c:pt>
                <c:pt idx="42">
                  <c:v>103.548469</c:v>
                </c:pt>
                <c:pt idx="43">
                  <c:v>111.273185</c:v>
                </c:pt>
                <c:pt idx="44">
                  <c:v>109.893397</c:v>
                </c:pt>
                <c:pt idx="45">
                  <c:v>106.321862</c:v>
                </c:pt>
                <c:pt idx="46">
                  <c:v>112.786231</c:v>
                </c:pt>
                <c:pt idx="47">
                  <c:v>112.617051</c:v>
                </c:pt>
                <c:pt idx="48">
                  <c:v>113.878362</c:v>
                </c:pt>
                <c:pt idx="49">
                  <c:v>117.214998</c:v>
                </c:pt>
                <c:pt idx="50">
                  <c:v>117.519757</c:v>
                </c:pt>
                <c:pt idx="51">
                  <c:v>117.848813</c:v>
                </c:pt>
                <c:pt idx="52">
                  <c:v>111.932802</c:v>
                </c:pt>
                <c:pt idx="53">
                  <c:v>112.895424</c:v>
                </c:pt>
                <c:pt idx="54">
                  <c:v>105.545932</c:v>
                </c:pt>
                <c:pt idx="55">
                  <c:v>104.332154</c:v>
                </c:pt>
                <c:pt idx="56">
                  <c:v>111.405874</c:v>
                </c:pt>
                <c:pt idx="57">
                  <c:v>118.413304</c:v>
                </c:pt>
                <c:pt idx="58">
                  <c:v>111.876889</c:v>
                </c:pt>
                <c:pt idx="59">
                  <c:v>113.957799</c:v>
                </c:pt>
                <c:pt idx="60">
                  <c:v>115.838103</c:v>
                </c:pt>
                <c:pt idx="61">
                  <c:v>112.652555</c:v>
                </c:pt>
                <c:pt idx="62">
                  <c:v>107.831026</c:v>
                </c:pt>
                <c:pt idx="63">
                  <c:v>141.808582</c:v>
                </c:pt>
                <c:pt idx="64">
                  <c:v>148.289234</c:v>
                </c:pt>
                <c:pt idx="65">
                  <c:v>161.679752</c:v>
                </c:pt>
                <c:pt idx="66">
                  <c:v>178.575286</c:v>
                </c:pt>
                <c:pt idx="67">
                  <c:v>178.146706</c:v>
                </c:pt>
                <c:pt idx="68">
                  <c:v>160.456738</c:v>
                </c:pt>
                <c:pt idx="69">
                  <c:v>171.480116</c:v>
                </c:pt>
                <c:pt idx="70">
                  <c:v>211.846535</c:v>
                </c:pt>
                <c:pt idx="71">
                  <c:v>225.891960</c:v>
                </c:pt>
                <c:pt idx="72">
                  <c:v>231.177832</c:v>
                </c:pt>
                <c:pt idx="73">
                  <c:v>226.484922</c:v>
                </c:pt>
                <c:pt idx="74">
                  <c:v>218.875029</c:v>
                </c:pt>
                <c:pt idx="75">
                  <c:v>210.886090</c:v>
                </c:pt>
                <c:pt idx="76">
                  <c:v>222.252850</c:v>
                </c:pt>
                <c:pt idx="77">
                  <c:v>217.052134</c:v>
                </c:pt>
                <c:pt idx="78">
                  <c:v>226.797774</c:v>
                </c:pt>
                <c:pt idx="79">
                  <c:v>258.299985</c:v>
                </c:pt>
                <c:pt idx="80">
                  <c:v>258.454965</c:v>
                </c:pt>
                <c:pt idx="81">
                  <c:v>253.828621</c:v>
                </c:pt>
                <c:pt idx="82">
                  <c:v>233.623863</c:v>
                </c:pt>
                <c:pt idx="83">
                  <c:v>261.892351</c:v>
                </c:pt>
                <c:pt idx="84">
                  <c:v>229.522456</c:v>
                </c:pt>
                <c:pt idx="85">
                  <c:v>219.492325</c:v>
                </c:pt>
                <c:pt idx="86">
                  <c:v>218.175371</c:v>
                </c:pt>
                <c:pt idx="87">
                  <c:v>216.604508</c:v>
                </c:pt>
                <c:pt idx="88">
                  <c:v>232.221693</c:v>
                </c:pt>
                <c:pt idx="89">
                  <c:v>237.098349</c:v>
                </c:pt>
                <c:pt idx="90">
                  <c:v>252.628291</c:v>
                </c:pt>
                <c:pt idx="91">
                  <c:v>264.198666</c:v>
                </c:pt>
                <c:pt idx="92">
                  <c:v>252.890963</c:v>
                </c:pt>
                <c:pt idx="93">
                  <c:v>260.250090</c:v>
                </c:pt>
                <c:pt idx="94">
                  <c:v>270.425869</c:v>
                </c:pt>
                <c:pt idx="95">
                  <c:v>267.099631</c:v>
                </c:pt>
                <c:pt idx="96">
                  <c:v>251.233913</c:v>
                </c:pt>
                <c:pt idx="97">
                  <c:v>236.260372</c:v>
                </c:pt>
                <c:pt idx="98">
                  <c:v>241.292717</c:v>
                </c:pt>
                <c:pt idx="99">
                  <c:v>252.030243</c:v>
                </c:pt>
                <c:pt idx="100">
                  <c:v>271.739008</c:v>
                </c:pt>
                <c:pt idx="101">
                  <c:v>284.537916</c:v>
                </c:pt>
                <c:pt idx="102">
                  <c:v>312.251909</c:v>
                </c:pt>
                <c:pt idx="103">
                  <c:v>320.526584</c:v>
                </c:pt>
                <c:pt idx="104">
                  <c:v>328.058959</c:v>
                </c:pt>
                <c:pt idx="105">
                  <c:v>323.761387</c:v>
                </c:pt>
                <c:pt idx="106">
                  <c:v>334.995907</c:v>
                </c:pt>
                <c:pt idx="107">
                  <c:v>354.090673</c:v>
                </c:pt>
                <c:pt idx="108">
                  <c:v>371.122435</c:v>
                </c:pt>
                <c:pt idx="109">
                  <c:v>392.499087</c:v>
                </c:pt>
                <c:pt idx="110">
                  <c:v>391.243090</c:v>
                </c:pt>
                <c:pt idx="111">
                  <c:v>407.949170</c:v>
                </c:pt>
                <c:pt idx="112">
                  <c:v>412.232636</c:v>
                </c:pt>
                <c:pt idx="113">
                  <c:v>432.432035</c:v>
                </c:pt>
                <c:pt idx="114">
                  <c:v>482.075233</c:v>
                </c:pt>
                <c:pt idx="115">
                  <c:v>520.110969</c:v>
                </c:pt>
                <c:pt idx="116">
                  <c:v>526.664367</c:v>
                </c:pt>
                <c:pt idx="117">
                  <c:v>459.830659</c:v>
                </c:pt>
                <c:pt idx="118">
                  <c:v>465.900424</c:v>
                </c:pt>
                <c:pt idx="119">
                  <c:v>470.512838</c:v>
                </c:pt>
                <c:pt idx="120">
                  <c:v>430.048734</c:v>
                </c:pt>
                <c:pt idx="121">
                  <c:v>392.548484</c:v>
                </c:pt>
                <c:pt idx="122">
                  <c:v>433.648310</c:v>
                </c:pt>
                <c:pt idx="123">
                  <c:v>453.552768</c:v>
                </c:pt>
                <c:pt idx="124">
                  <c:v>455.321624</c:v>
                </c:pt>
                <c:pt idx="125">
                  <c:v>466.021682</c:v>
                </c:pt>
                <c:pt idx="126">
                  <c:v>420.584568</c:v>
                </c:pt>
                <c:pt idx="127">
                  <c:v>428.028915</c:v>
                </c:pt>
                <c:pt idx="128">
                  <c:v>461.115550</c:v>
                </c:pt>
                <c:pt idx="129">
                  <c:v>467.340610</c:v>
                </c:pt>
                <c:pt idx="130">
                  <c:v>489.399087</c:v>
                </c:pt>
                <c:pt idx="131">
                  <c:v>505.157737</c:v>
                </c:pt>
                <c:pt idx="132">
                  <c:v>512.886651</c:v>
                </c:pt>
                <c:pt idx="133">
                  <c:v>524.836909</c:v>
                </c:pt>
                <c:pt idx="134">
                  <c:v>506.625069</c:v>
                </c:pt>
                <c:pt idx="135">
                  <c:v>510.171444</c:v>
                </c:pt>
                <c:pt idx="136">
                  <c:v>488.030004</c:v>
                </c:pt>
                <c:pt idx="137">
                  <c:v>506.379932</c:v>
                </c:pt>
                <c:pt idx="138">
                  <c:v>495.594039</c:v>
                </c:pt>
                <c:pt idx="139">
                  <c:v>494.156816</c:v>
                </c:pt>
                <c:pt idx="140">
                  <c:v>469.597223</c:v>
                </c:pt>
                <c:pt idx="141">
                  <c:v>463.116781</c:v>
                </c:pt>
              </c:numCache>
            </c:numRef>
          </c:val>
          <c:smooth val="0"/>
        </c:ser>
        <c:ser>
          <c:idx val="1"/>
          <c:order val="1"/>
          <c:tx>
            <c:v>Equal-wt value (Rs)</c:v>
          </c:tx>
          <c:spPr>
            <a:solidFill>
              <a:srgbClr val="FFFFFF"/>
            </a:solidFill>
            <a:ln w="50800" cap="flat">
              <a:solidFill>
                <a:schemeClr val="accent3"/>
              </a:solidFill>
              <a:prstDash val="solid"/>
              <a:miter lim="400000"/>
            </a:ln>
            <a:effectLst/>
          </c:spPr>
          <c:marker>
            <c:symbol val="none"/>
            <c:size val="4"/>
            <c:spPr>
              <a:solidFill>
                <a:srgbClr val="FFFFFF"/>
              </a:solidFill>
              <a:ln w="50800" cap="flat">
                <a:solidFill>
                  <a:schemeClr val="accent3"/>
                </a:solidFill>
                <a:prstDash val="solid"/>
                <a:miter lim="400000"/>
              </a:ln>
              <a:effectLst/>
            </c:spPr>
          </c:marker>
          <c:dLbls>
            <c:numFmt formatCode="#,##0" sourceLinked="1"/>
            <c:txPr>
              <a:bodyPr/>
              <a:lstStyle/>
              <a:p>
                <a:pPr>
                  <a:defRPr b="0" i="0" strike="noStrike" sz="1200" u="none">
                    <a:solidFill>
                      <a:srgbClr val="000000"/>
                    </a:solidFill>
                    <a:latin typeface="Helvetica Neue"/>
                  </a:defRPr>
                </a:pPr>
              </a:p>
            </c:txPr>
            <c:dLblPos val="b"/>
            <c:showLegendKey val="0"/>
            <c:showVal val="0"/>
            <c:showCatName val="0"/>
            <c:showSerName val="0"/>
            <c:showPercent val="0"/>
            <c:showBubbleSize val="0"/>
            <c:showLeaderLines val="0"/>
          </c:dLbls>
          <c:cat>
            <c:strRef>
              <c:f>'5_Backtest'!$A$1:$A$142</c:f>
              <c:strCache>
                <c:ptCount val="142"/>
                <c:pt idx="0">
                  <c:v>Month</c:v>
                </c:pt>
                <c:pt idx="1">
                  <c:v>2015-02-01</c:v>
                </c:pt>
                <c:pt idx="2">
                  <c:v>2015-03-01</c:v>
                </c:pt>
                <c:pt idx="3">
                  <c:v>2015-04-01</c:v>
                </c:pt>
                <c:pt idx="4">
                  <c:v>2015-05-01</c:v>
                </c:pt>
                <c:pt idx="5">
                  <c:v>2015-06-01</c:v>
                </c:pt>
                <c:pt idx="6">
                  <c:v>2015-07-01</c:v>
                </c:pt>
                <c:pt idx="7">
                  <c:v>2015-08-01</c:v>
                </c:pt>
                <c:pt idx="8">
                  <c:v>2015-09-01</c:v>
                </c:pt>
                <c:pt idx="9">
                  <c:v>2015-10-01</c:v>
                </c:pt>
                <c:pt idx="10">
                  <c:v>2015-11-01</c:v>
                </c:pt>
                <c:pt idx="11">
                  <c:v>2015-12-01</c:v>
                </c:pt>
                <c:pt idx="12">
                  <c:v>2016-01-01</c:v>
                </c:pt>
                <c:pt idx="13">
                  <c:v>2016-02-01</c:v>
                </c:pt>
                <c:pt idx="14">
                  <c:v>2016-03-01</c:v>
                </c:pt>
                <c:pt idx="15">
                  <c:v>2016-04-01</c:v>
                </c:pt>
                <c:pt idx="16">
                  <c:v>2016-05-01</c:v>
                </c:pt>
                <c:pt idx="17">
                  <c:v>2016-06-01</c:v>
                </c:pt>
                <c:pt idx="18">
                  <c:v>2016-07-01</c:v>
                </c:pt>
                <c:pt idx="19">
                  <c:v>2016-08-01</c:v>
                </c:pt>
                <c:pt idx="20">
                  <c:v>2016-09-01</c:v>
                </c:pt>
                <c:pt idx="21">
                  <c:v>2016-10-01</c:v>
                </c:pt>
                <c:pt idx="22">
                  <c:v>2016-11-01</c:v>
                </c:pt>
                <c:pt idx="23">
                  <c:v>2016-12-01</c:v>
                </c:pt>
                <c:pt idx="24">
                  <c:v>2017-01-01</c:v>
                </c:pt>
                <c:pt idx="25">
                  <c:v>2017-02-01</c:v>
                </c:pt>
                <c:pt idx="26">
                  <c:v>2017-03-01</c:v>
                </c:pt>
                <c:pt idx="27">
                  <c:v>2017-04-01</c:v>
                </c:pt>
                <c:pt idx="28">
                  <c:v>2017-05-01</c:v>
                </c:pt>
                <c:pt idx="29">
                  <c:v>2017-06-01</c:v>
                </c:pt>
                <c:pt idx="30">
                  <c:v>2017-07-01</c:v>
                </c:pt>
                <c:pt idx="31">
                  <c:v>2017-08-01</c:v>
                </c:pt>
                <c:pt idx="32">
                  <c:v>2017-09-01</c:v>
                </c:pt>
                <c:pt idx="33">
                  <c:v>2017-10-01</c:v>
                </c:pt>
                <c:pt idx="34">
                  <c:v>2017-11-01</c:v>
                </c:pt>
                <c:pt idx="35">
                  <c:v>2017-12-01</c:v>
                </c:pt>
                <c:pt idx="36">
                  <c:v>2018-01-01</c:v>
                </c:pt>
                <c:pt idx="37">
                  <c:v>2018-02-01</c:v>
                </c:pt>
                <c:pt idx="38">
                  <c:v>2018-03-01</c:v>
                </c:pt>
                <c:pt idx="39">
                  <c:v>2018-04-01</c:v>
                </c:pt>
                <c:pt idx="40">
                  <c:v>2018-05-01</c:v>
                </c:pt>
                <c:pt idx="41">
                  <c:v>2018-06-01</c:v>
                </c:pt>
                <c:pt idx="42">
                  <c:v>2018-07-01</c:v>
                </c:pt>
                <c:pt idx="43">
                  <c:v>2018-08-01</c:v>
                </c:pt>
                <c:pt idx="44">
                  <c:v>2018-09-01</c:v>
                </c:pt>
                <c:pt idx="45">
                  <c:v>2018-10-01</c:v>
                </c:pt>
                <c:pt idx="46">
                  <c:v>2018-11-01</c:v>
                </c:pt>
                <c:pt idx="47">
                  <c:v>2018-12-01</c:v>
                </c:pt>
                <c:pt idx="48">
                  <c:v>2019-01-01</c:v>
                </c:pt>
                <c:pt idx="49">
                  <c:v>2019-02-01</c:v>
                </c:pt>
                <c:pt idx="50">
                  <c:v>2019-03-01</c:v>
                </c:pt>
                <c:pt idx="51">
                  <c:v>2019-04-01</c:v>
                </c:pt>
                <c:pt idx="52">
                  <c:v>2019-05-01</c:v>
                </c:pt>
                <c:pt idx="53">
                  <c:v>2019-06-01</c:v>
                </c:pt>
                <c:pt idx="54">
                  <c:v>2019-07-01</c:v>
                </c:pt>
                <c:pt idx="55">
                  <c:v>2019-08-01</c:v>
                </c:pt>
                <c:pt idx="56">
                  <c:v>2019-09-01</c:v>
                </c:pt>
                <c:pt idx="57">
                  <c:v>2019-10-01</c:v>
                </c:pt>
                <c:pt idx="58">
                  <c:v>2019-11-01</c:v>
                </c:pt>
                <c:pt idx="59">
                  <c:v>2019-12-01</c:v>
                </c:pt>
                <c:pt idx="60">
                  <c:v>2020-01-01</c:v>
                </c:pt>
                <c:pt idx="61">
                  <c:v>2020-02-01</c:v>
                </c:pt>
                <c:pt idx="62">
                  <c:v>2020-03-01</c:v>
                </c:pt>
                <c:pt idx="63">
                  <c:v>2020-04-01</c:v>
                </c:pt>
                <c:pt idx="64">
                  <c:v>2020-05-01</c:v>
                </c:pt>
                <c:pt idx="65">
                  <c:v>2020-06-01</c:v>
                </c:pt>
                <c:pt idx="66">
                  <c:v>2020-07-01</c:v>
                </c:pt>
                <c:pt idx="67">
                  <c:v>2020-08-01</c:v>
                </c:pt>
                <c:pt idx="68">
                  <c:v>2020-09-01</c:v>
                </c:pt>
                <c:pt idx="69">
                  <c:v>2020-10-01</c:v>
                </c:pt>
                <c:pt idx="70">
                  <c:v>2020-11-01</c:v>
                </c:pt>
                <c:pt idx="71">
                  <c:v>2020-12-01</c:v>
                </c:pt>
                <c:pt idx="72">
                  <c:v>2021-01-01</c:v>
                </c:pt>
                <c:pt idx="73">
                  <c:v>2021-02-01</c:v>
                </c:pt>
                <c:pt idx="74">
                  <c:v>2021-03-01</c:v>
                </c:pt>
                <c:pt idx="75">
                  <c:v>2021-04-01</c:v>
                </c:pt>
                <c:pt idx="76">
                  <c:v>2021-05-01</c:v>
                </c:pt>
                <c:pt idx="77">
                  <c:v>2021-06-01</c:v>
                </c:pt>
                <c:pt idx="78">
                  <c:v>2021-07-01</c:v>
                </c:pt>
                <c:pt idx="79">
                  <c:v>2021-08-01</c:v>
                </c:pt>
                <c:pt idx="80">
                  <c:v>2021-09-01</c:v>
                </c:pt>
                <c:pt idx="81">
                  <c:v>2021-10-01</c:v>
                </c:pt>
                <c:pt idx="82">
                  <c:v>2021-11-01</c:v>
                </c:pt>
                <c:pt idx="83">
                  <c:v>2021-12-01</c:v>
                </c:pt>
                <c:pt idx="84">
                  <c:v>2022-01-01</c:v>
                </c:pt>
                <c:pt idx="85">
                  <c:v>2022-02-01</c:v>
                </c:pt>
                <c:pt idx="86">
                  <c:v>2022-03-01</c:v>
                </c:pt>
                <c:pt idx="87">
                  <c:v>2022-04-01</c:v>
                </c:pt>
                <c:pt idx="88">
                  <c:v>2022-05-01</c:v>
                </c:pt>
                <c:pt idx="89">
                  <c:v>2022-06-01</c:v>
                </c:pt>
                <c:pt idx="90">
                  <c:v>2022-07-01</c:v>
                </c:pt>
                <c:pt idx="91">
                  <c:v>2022-08-01</c:v>
                </c:pt>
                <c:pt idx="92">
                  <c:v>2022-09-01</c:v>
                </c:pt>
                <c:pt idx="93">
                  <c:v>2022-10-01</c:v>
                </c:pt>
                <c:pt idx="94">
                  <c:v>2022-11-01</c:v>
                </c:pt>
                <c:pt idx="95">
                  <c:v>2022-12-01</c:v>
                </c:pt>
                <c:pt idx="96">
                  <c:v>2023-01-01</c:v>
                </c:pt>
                <c:pt idx="97">
                  <c:v>2023-02-01</c:v>
                </c:pt>
                <c:pt idx="98">
                  <c:v>2023-03-01</c:v>
                </c:pt>
                <c:pt idx="99">
                  <c:v>2023-04-01</c:v>
                </c:pt>
                <c:pt idx="100">
                  <c:v>2023-05-01</c:v>
                </c:pt>
                <c:pt idx="101">
                  <c:v>2023-06-01</c:v>
                </c:pt>
                <c:pt idx="102">
                  <c:v>2023-07-01</c:v>
                </c:pt>
                <c:pt idx="103">
                  <c:v>2023-08-01</c:v>
                </c:pt>
                <c:pt idx="104">
                  <c:v>2023-09-01</c:v>
                </c:pt>
                <c:pt idx="105">
                  <c:v>2023-10-01</c:v>
                </c:pt>
                <c:pt idx="106">
                  <c:v>2023-11-01</c:v>
                </c:pt>
                <c:pt idx="107">
                  <c:v>2023-12-01</c:v>
                </c:pt>
                <c:pt idx="108">
                  <c:v>2024-01-01</c:v>
                </c:pt>
                <c:pt idx="109">
                  <c:v>2024-02-01</c:v>
                </c:pt>
                <c:pt idx="110">
                  <c:v>2024-03-01</c:v>
                </c:pt>
                <c:pt idx="111">
                  <c:v>2024-04-01</c:v>
                </c:pt>
                <c:pt idx="112">
                  <c:v>2024-05-01</c:v>
                </c:pt>
                <c:pt idx="113">
                  <c:v>2024-06-01</c:v>
                </c:pt>
                <c:pt idx="114">
                  <c:v>2024-07-01</c:v>
                </c:pt>
                <c:pt idx="115">
                  <c:v>2024-08-01</c:v>
                </c:pt>
                <c:pt idx="116">
                  <c:v>2024-09-01</c:v>
                </c:pt>
                <c:pt idx="117">
                  <c:v>2024-10-01</c:v>
                </c:pt>
                <c:pt idx="118">
                  <c:v>2024-11-01</c:v>
                </c:pt>
                <c:pt idx="119">
                  <c:v>2024-12-01</c:v>
                </c:pt>
                <c:pt idx="120">
                  <c:v>2025-01-01</c:v>
                </c:pt>
                <c:pt idx="121">
                  <c:v>2025-02-01</c:v>
                </c:pt>
                <c:pt idx="122">
                  <c:v>2025-03-01</c:v>
                </c:pt>
                <c:pt idx="123">
                  <c:v>2025-04-01</c:v>
                </c:pt>
                <c:pt idx="124">
                  <c:v>2025-05-01</c:v>
                </c:pt>
                <c:pt idx="125">
                  <c:v>2025-06-01</c:v>
                </c:pt>
                <c:pt idx="126">
                  <c:v>2025-07-01</c:v>
                </c:pt>
                <c:pt idx="127">
                  <c:v>2025-08-01</c:v>
                </c:pt>
                <c:pt idx="128">
                  <c:v>2025-09-01</c:v>
                </c:pt>
                <c:pt idx="129">
                  <c:v>2025-10-01</c:v>
                </c:pt>
                <c:pt idx="130">
                  <c:v>2025-11-01</c:v>
                </c:pt>
                <c:pt idx="131">
                  <c:v>2025-12-01</c:v>
                </c:pt>
                <c:pt idx="132">
                  <c:v>2026-01-01</c:v>
                </c:pt>
                <c:pt idx="133">
                  <c:v>2026-02-01</c:v>
                </c:pt>
                <c:pt idx="134">
                  <c:v>2026-03-01</c:v>
                </c:pt>
                <c:pt idx="135">
                  <c:v>2026-04-01</c:v>
                </c:pt>
                <c:pt idx="136">
                  <c:v>2026-05-01</c:v>
                </c:pt>
                <c:pt idx="137">
                  <c:v>2026-06-01</c:v>
                </c:pt>
                <c:pt idx="138">
                  <c:v>2026-07-01</c:v>
                </c:pt>
                <c:pt idx="139">
                  <c:v>2026-08-01</c:v>
                </c:pt>
                <c:pt idx="140">
                  <c:v>2026-09-01</c:v>
                </c:pt>
                <c:pt idx="141">
                  <c:v>2026-10-01</c:v>
                </c:pt>
              </c:strCache>
            </c:strRef>
          </c:cat>
          <c:val>
            <c:numRef>
              <c:f>'5_Backtest'!$F$1:$F$142</c:f>
              <c:numCache>
                <c:ptCount val="141"/>
                <c:pt idx="1">
                  <c:v>100.620000</c:v>
                </c:pt>
                <c:pt idx="2">
                  <c:v>99.704358</c:v>
                </c:pt>
                <c:pt idx="3">
                  <c:v>95.407100</c:v>
                </c:pt>
                <c:pt idx="4">
                  <c:v>101.312800</c:v>
                </c:pt>
                <c:pt idx="5">
                  <c:v>100.654266</c:v>
                </c:pt>
                <c:pt idx="6">
                  <c:v>104.992465</c:v>
                </c:pt>
                <c:pt idx="7">
                  <c:v>102.609136</c:v>
                </c:pt>
                <c:pt idx="8">
                  <c:v>103.604445</c:v>
                </c:pt>
                <c:pt idx="9">
                  <c:v>103.842735</c:v>
                </c:pt>
                <c:pt idx="10">
                  <c:v>101.163593</c:v>
                </c:pt>
                <c:pt idx="11">
                  <c:v>101.284989</c:v>
                </c:pt>
                <c:pt idx="12">
                  <c:v>96.524595</c:v>
                </c:pt>
                <c:pt idx="13">
                  <c:v>90.173276</c:v>
                </c:pt>
                <c:pt idx="14">
                  <c:v>97.351069</c:v>
                </c:pt>
                <c:pt idx="15">
                  <c:v>99.823786</c:v>
                </c:pt>
                <c:pt idx="16">
                  <c:v>101.989962</c:v>
                </c:pt>
                <c:pt idx="17">
                  <c:v>104.825283</c:v>
                </c:pt>
                <c:pt idx="18">
                  <c:v>108.882022</c:v>
                </c:pt>
                <c:pt idx="19">
                  <c:v>110.798345</c:v>
                </c:pt>
                <c:pt idx="20">
                  <c:v>108.571299</c:v>
                </c:pt>
                <c:pt idx="21">
                  <c:v>109.201012</c:v>
                </c:pt>
                <c:pt idx="22">
                  <c:v>105.258856</c:v>
                </c:pt>
                <c:pt idx="23">
                  <c:v>102.543177</c:v>
                </c:pt>
                <c:pt idx="24">
                  <c:v>104.112088</c:v>
                </c:pt>
                <c:pt idx="25">
                  <c:v>108.349450</c:v>
                </c:pt>
                <c:pt idx="26">
                  <c:v>109.714653</c:v>
                </c:pt>
                <c:pt idx="27">
                  <c:v>109.253851</c:v>
                </c:pt>
                <c:pt idx="28">
                  <c:v>112.083526</c:v>
                </c:pt>
                <c:pt idx="29">
                  <c:v>112.621527</c:v>
                </c:pt>
                <c:pt idx="30">
                  <c:v>116.754737</c:v>
                </c:pt>
                <c:pt idx="31">
                  <c:v>116.135937</c:v>
                </c:pt>
                <c:pt idx="32">
                  <c:v>117.459886</c:v>
                </c:pt>
                <c:pt idx="33">
                  <c:v>123.520817</c:v>
                </c:pt>
                <c:pt idx="34">
                  <c:v>124.126069</c:v>
                </c:pt>
                <c:pt idx="35">
                  <c:v>128.979398</c:v>
                </c:pt>
                <c:pt idx="36">
                  <c:v>132.190985</c:v>
                </c:pt>
                <c:pt idx="37">
                  <c:v>127.260261</c:v>
                </c:pt>
                <c:pt idx="38">
                  <c:v>124.244193</c:v>
                </c:pt>
                <c:pt idx="39">
                  <c:v>134.432217</c:v>
                </c:pt>
                <c:pt idx="40">
                  <c:v>133.760056</c:v>
                </c:pt>
                <c:pt idx="41">
                  <c:v>137.211065</c:v>
                </c:pt>
                <c:pt idx="42">
                  <c:v>143.138583</c:v>
                </c:pt>
                <c:pt idx="43">
                  <c:v>153.129656</c:v>
                </c:pt>
                <c:pt idx="44">
                  <c:v>144.064381</c:v>
                </c:pt>
                <c:pt idx="45">
                  <c:v>140.880558</c:v>
                </c:pt>
                <c:pt idx="46">
                  <c:v>144.966094</c:v>
                </c:pt>
                <c:pt idx="47">
                  <c:v>144.299250</c:v>
                </c:pt>
                <c:pt idx="48">
                  <c:v>144.371400</c:v>
                </c:pt>
                <c:pt idx="49">
                  <c:v>144.674579</c:v>
                </c:pt>
                <c:pt idx="50">
                  <c:v>148.117834</c:v>
                </c:pt>
                <c:pt idx="51">
                  <c:v>152.857605</c:v>
                </c:pt>
                <c:pt idx="52">
                  <c:v>151.588887</c:v>
                </c:pt>
                <c:pt idx="53">
                  <c:v>149.936568</c:v>
                </c:pt>
                <c:pt idx="54">
                  <c:v>143.924112</c:v>
                </c:pt>
                <c:pt idx="55">
                  <c:v>145.751948</c:v>
                </c:pt>
                <c:pt idx="56">
                  <c:v>149.454047</c:v>
                </c:pt>
                <c:pt idx="57">
                  <c:v>159.422632</c:v>
                </c:pt>
                <c:pt idx="58">
                  <c:v>158.195078</c:v>
                </c:pt>
                <c:pt idx="59">
                  <c:v>159.096790</c:v>
                </c:pt>
                <c:pt idx="60">
                  <c:v>159.860455</c:v>
                </c:pt>
                <c:pt idx="61">
                  <c:v>148.894028</c:v>
                </c:pt>
                <c:pt idx="62">
                  <c:v>125.219877</c:v>
                </c:pt>
                <c:pt idx="63">
                  <c:v>146.432124</c:v>
                </c:pt>
                <c:pt idx="64">
                  <c:v>147.925732</c:v>
                </c:pt>
                <c:pt idx="65">
                  <c:v>154.922619</c:v>
                </c:pt>
                <c:pt idx="66">
                  <c:v>171.220479</c:v>
                </c:pt>
                <c:pt idx="67">
                  <c:v>175.774943</c:v>
                </c:pt>
                <c:pt idx="68">
                  <c:v>178.851005</c:v>
                </c:pt>
                <c:pt idx="69">
                  <c:v>182.803612</c:v>
                </c:pt>
                <c:pt idx="70">
                  <c:v>200.535562</c:v>
                </c:pt>
                <c:pt idx="71">
                  <c:v>215.435355</c:v>
                </c:pt>
                <c:pt idx="72">
                  <c:v>214.508983</c:v>
                </c:pt>
                <c:pt idx="73">
                  <c:v>217.104541</c:v>
                </c:pt>
                <c:pt idx="74">
                  <c:v>222.857812</c:v>
                </c:pt>
                <c:pt idx="75">
                  <c:v>224.395531</c:v>
                </c:pt>
                <c:pt idx="76">
                  <c:v>238.981240</c:v>
                </c:pt>
                <c:pt idx="77">
                  <c:v>242.374774</c:v>
                </c:pt>
                <c:pt idx="78">
                  <c:v>241.962737</c:v>
                </c:pt>
                <c:pt idx="79">
                  <c:v>257.254782</c:v>
                </c:pt>
                <c:pt idx="80">
                  <c:v>262.091172</c:v>
                </c:pt>
                <c:pt idx="81">
                  <c:v>258.159804</c:v>
                </c:pt>
                <c:pt idx="82">
                  <c:v>250.234298</c:v>
                </c:pt>
                <c:pt idx="83">
                  <c:v>259.643108</c:v>
                </c:pt>
                <c:pt idx="84">
                  <c:v>256.890891</c:v>
                </c:pt>
                <c:pt idx="85">
                  <c:v>248.336424</c:v>
                </c:pt>
                <c:pt idx="86">
                  <c:v>252.433975</c:v>
                </c:pt>
                <c:pt idx="87">
                  <c:v>251.701916</c:v>
                </c:pt>
                <c:pt idx="88">
                  <c:v>249.965173</c:v>
                </c:pt>
                <c:pt idx="89">
                  <c:v>242.016281</c:v>
                </c:pt>
                <c:pt idx="90">
                  <c:v>261.692204</c:v>
                </c:pt>
                <c:pt idx="91">
                  <c:v>267.684956</c:v>
                </c:pt>
                <c:pt idx="92">
                  <c:v>263.696450</c:v>
                </c:pt>
                <c:pt idx="93">
                  <c:v>276.749424</c:v>
                </c:pt>
                <c:pt idx="94">
                  <c:v>284.332359</c:v>
                </c:pt>
                <c:pt idx="95">
                  <c:v>273.613029</c:v>
                </c:pt>
                <c:pt idx="96">
                  <c:v>275.090539</c:v>
                </c:pt>
                <c:pt idx="97">
                  <c:v>266.260133</c:v>
                </c:pt>
                <c:pt idx="98">
                  <c:v>265.967246</c:v>
                </c:pt>
                <c:pt idx="99">
                  <c:v>278.441110</c:v>
                </c:pt>
                <c:pt idx="100">
                  <c:v>291.332934</c:v>
                </c:pt>
                <c:pt idx="101">
                  <c:v>302.461852</c:v>
                </c:pt>
                <c:pt idx="102">
                  <c:v>311.051768</c:v>
                </c:pt>
                <c:pt idx="103">
                  <c:v>308.967722</c:v>
                </c:pt>
                <c:pt idx="104">
                  <c:v>315.795908</c:v>
                </c:pt>
                <c:pt idx="105">
                  <c:v>307.553635</c:v>
                </c:pt>
                <c:pt idx="106">
                  <c:v>330.343359</c:v>
                </c:pt>
                <c:pt idx="107">
                  <c:v>351.353197</c:v>
                </c:pt>
                <c:pt idx="108">
                  <c:v>355.112676</c:v>
                </c:pt>
                <c:pt idx="109">
                  <c:v>365.197876</c:v>
                </c:pt>
                <c:pt idx="110">
                  <c:v>367.060385</c:v>
                </c:pt>
                <c:pt idx="111">
                  <c:v>369.629808</c:v>
                </c:pt>
                <c:pt idx="112">
                  <c:v>374.545885</c:v>
                </c:pt>
                <c:pt idx="113">
                  <c:v>401.775370</c:v>
                </c:pt>
                <c:pt idx="114">
                  <c:v>426.082780</c:v>
                </c:pt>
                <c:pt idx="115">
                  <c:v>438.567006</c:v>
                </c:pt>
                <c:pt idx="116">
                  <c:v>451.110022</c:v>
                </c:pt>
                <c:pt idx="117">
                  <c:v>424.990752</c:v>
                </c:pt>
                <c:pt idx="118">
                  <c:v>424.820756</c:v>
                </c:pt>
                <c:pt idx="119">
                  <c:v>423.801186</c:v>
                </c:pt>
                <c:pt idx="120">
                  <c:v>422.190741</c:v>
                </c:pt>
                <c:pt idx="121">
                  <c:v>390.315340</c:v>
                </c:pt>
                <c:pt idx="122">
                  <c:v>405.615702</c:v>
                </c:pt>
                <c:pt idx="123">
                  <c:v>419.122704</c:v>
                </c:pt>
                <c:pt idx="124">
                  <c:v>424.571300</c:v>
                </c:pt>
                <c:pt idx="125">
                  <c:v>434.930839</c:v>
                </c:pt>
                <c:pt idx="126">
                  <c:v>424.666472</c:v>
                </c:pt>
                <c:pt idx="127">
                  <c:v>431.461135</c:v>
                </c:pt>
                <c:pt idx="128">
                  <c:v>432.453496</c:v>
                </c:pt>
                <c:pt idx="129">
                  <c:v>448.454275</c:v>
                </c:pt>
                <c:pt idx="130">
                  <c:v>462.625430</c:v>
                </c:pt>
                <c:pt idx="131">
                  <c:v>464.105831</c:v>
                </c:pt>
                <c:pt idx="132">
                  <c:v>453.570629</c:v>
                </c:pt>
                <c:pt idx="133">
                  <c:v>448.626709</c:v>
                </c:pt>
                <c:pt idx="134">
                  <c:v>403.584588</c:v>
                </c:pt>
                <c:pt idx="135">
                  <c:v>429.010417</c:v>
                </c:pt>
                <c:pt idx="136">
                  <c:v>423.304578</c:v>
                </c:pt>
                <c:pt idx="137">
                  <c:v>421.230386</c:v>
                </c:pt>
                <c:pt idx="138">
                  <c:v>448.189130</c:v>
                </c:pt>
                <c:pt idx="139">
                  <c:v>445.813728</c:v>
                </c:pt>
                <c:pt idx="140">
                  <c:v>416.835836</c:v>
                </c:pt>
                <c:pt idx="141">
                  <c:v>420.170522</c:v>
                </c:pt>
              </c:numCache>
            </c:numRef>
          </c:val>
          <c:smooth val="0"/>
        </c:ser>
        <c:marker val="1"/>
        <c:axId val="2094734552"/>
        <c:axId val="2094734553"/>
      </c:lineChart>
      <c:catAx>
        <c:axId val="2094734552"/>
        <c:scaling>
          <c:orientation val="minMax"/>
        </c:scaling>
        <c:delete val="0"/>
        <c:axPos val="b"/>
        <c:numFmt formatCode="#,##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Neue"/>
              </a:defRPr>
            </a:pPr>
          </a:p>
        </c:txPr>
        <c:crossAx val="2094734553"/>
        <c:crosses val="autoZero"/>
        <c:auto val="1"/>
        <c:lblAlgn val="ctr"/>
        <c:noMultiLvlLbl val="1"/>
      </c:catAx>
      <c:valAx>
        <c:axId val="2094734553"/>
        <c:scaling>
          <c:orientation val="minMax"/>
        </c:scaling>
        <c:delete val="0"/>
        <c:axPos val="l"/>
        <c:majorGridlines>
          <c:spPr>
            <a:ln w="6350" cap="flat">
              <a:solidFill>
                <a:srgbClr val="B8B8B8"/>
              </a:solidFill>
              <a:prstDash val="solid"/>
              <a:miter lim="400000"/>
            </a:ln>
          </c:spPr>
        </c:majorGridlines>
        <c:numFmt formatCode="#,##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Neue"/>
              </a:defRPr>
            </a:pPr>
          </a:p>
        </c:txPr>
        <c:crossAx val="2094734552"/>
        <c:crosses val="autoZero"/>
        <c:crossBetween val="midCat"/>
        <c:majorUnit val="150"/>
        <c:minorUnit val="75"/>
      </c:valAx>
      <c:spPr>
        <a:solidFill>
          <a:srgbClr val="E7ECFF"/>
        </a:solidFill>
        <a:ln w="12700" cap="flat">
          <a:solidFill>
            <a:srgbClr val="000000"/>
          </a:solidFill>
          <a:prstDash val="solid"/>
          <a:miter lim="400000"/>
        </a:ln>
        <a:effectLst/>
      </c:spPr>
    </c:plotArea>
    <c:legend>
      <c:legendPos val="t"/>
      <c:layout>
        <c:manualLayout>
          <c:xMode val="edge"/>
          <c:yMode val="edge"/>
          <c:x val="0.0600312"/>
          <c:y val="0.0416641"/>
          <c:w val="0.898876"/>
          <c:h val="0.0623648"/>
        </c:manualLayout>
      </c:layout>
      <c:overlay val="1"/>
      <c:spPr>
        <a:noFill/>
        <a:ln w="12700" cap="flat">
          <a:noFill/>
          <a:miter lim="400000"/>
        </a:ln>
        <a:effectLst/>
      </c:spPr>
      <c:txPr>
        <a:bodyPr rot="0"/>
        <a:lstStyle/>
        <a:p>
          <a:pPr>
            <a:defRPr b="0" i="0" strike="noStrike" sz="1000" u="none">
              <a:solidFill>
                <a:srgbClr val="000000"/>
              </a:solidFill>
              <a:latin typeface="Helvetica Neue"/>
            </a:defRPr>
          </a:pPr>
        </a:p>
      </c:txPr>
    </c:legend>
    <c:plotVisOnly val="0"/>
    <c:dispBlanksAs val="gap"/>
  </c:chart>
  <c:spPr>
    <a:noFill/>
    <a:ln>
      <a:noFill/>
    </a:ln>
    <a:effectLst/>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8</xdr:col>
      <xdr:colOff>1199483</xdr:colOff>
      <xdr:row>13</xdr:row>
      <xdr:rowOff>29172</xdr:rowOff>
    </xdr:from>
    <xdr:to>
      <xdr:col>14</xdr:col>
      <xdr:colOff>418433</xdr:colOff>
      <xdr:row>36</xdr:row>
      <xdr:rowOff>25540</xdr:rowOff>
    </xdr:to>
    <xdr:graphicFrame>
      <xdr:nvGraphicFramePr>
        <xdr:cNvPr id="2" name="2D Line Chart"/>
        <xdr:cNvGraphicFramePr/>
      </xdr:nvGraphicFramePr>
      <xdr:xfrm>
        <a:off x="8971883" y="2282787"/>
        <a:ext cx="5086351" cy="3983534"/>
      </xdr:xfrm>
      <a:graphic xmlns:a="http://schemas.openxmlformats.org/drawingml/2006/main">
        <a:graphicData uri="http://schemas.openxmlformats.org/drawingml/2006/chart">
          <c:chart xmlns:c="http://schemas.openxmlformats.org/drawingml/2006/chart" r:id="rId1"/>
        </a:graphicData>
      </a:graphic>
    </xdr:graphicFrame>
    <xdr:clientData/>
  </xdr:twoCellAnchor>
</xdr:wsDr>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2.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0.05" customHeight="1">
      <c r="B3" t="s" s="1">
        <v>0</v>
      </c>
      <c r="C3"/>
      <c r="D3"/>
    </row>
    <row r="7">
      <c r="B7" t="s" s="2">
        <v>1</v>
      </c>
      <c r="C7" t="s" s="2">
        <v>2</v>
      </c>
      <c r="D7" t="s" s="2">
        <v>3</v>
      </c>
    </row>
    <row r="9">
      <c r="B9" t="s" s="3">
        <v>4</v>
      </c>
      <c r="C9" s="3"/>
      <c r="D9" s="3"/>
    </row>
    <row r="10">
      <c r="B10" s="4"/>
      <c r="C10" t="s" s="4">
        <v>5</v>
      </c>
      <c r="D10" t="s" s="5">
        <v>6</v>
      </c>
    </row>
    <row r="11">
      <c r="B11" t="s" s="3">
        <v>46</v>
      </c>
      <c r="C11" s="3"/>
      <c r="D11" s="3"/>
    </row>
    <row r="12">
      <c r="B12" s="4"/>
      <c r="C12" t="s" s="4">
        <v>47</v>
      </c>
      <c r="D12" t="s" s="5">
        <v>48</v>
      </c>
    </row>
    <row r="13">
      <c r="B13" s="4"/>
      <c r="C13" t="s" s="4">
        <v>49</v>
      </c>
      <c r="D13" t="s" s="5">
        <v>50</v>
      </c>
    </row>
    <row r="14">
      <c r="B14" t="s" s="3">
        <v>173</v>
      </c>
      <c r="C14" s="3"/>
      <c r="D14" s="3"/>
    </row>
    <row r="15">
      <c r="B15" s="4"/>
      <c r="C15" t="s" s="4">
        <v>47</v>
      </c>
      <c r="D15" t="s" s="5">
        <v>174</v>
      </c>
    </row>
    <row r="16">
      <c r="B16" s="4"/>
      <c r="C16" t="s" s="4">
        <v>49</v>
      </c>
      <c r="D16" t="s" s="5">
        <v>175</v>
      </c>
    </row>
    <row r="17">
      <c r="B17" t="s" s="3">
        <v>176</v>
      </c>
      <c r="C17" s="3"/>
      <c r="D17" s="3"/>
    </row>
    <row r="18">
      <c r="B18" s="4"/>
      <c r="C18" t="s" s="4">
        <v>49</v>
      </c>
      <c r="D18" t="s" s="5">
        <v>177</v>
      </c>
    </row>
    <row r="19">
      <c r="B19" s="4"/>
      <c r="C19" t="s" s="4">
        <v>183</v>
      </c>
      <c r="D19" t="s" s="5">
        <v>184</v>
      </c>
    </row>
    <row r="20">
      <c r="B20" t="s" s="3">
        <v>188</v>
      </c>
      <c r="C20" s="3"/>
      <c r="D20" s="3"/>
    </row>
    <row r="21">
      <c r="B21" s="4"/>
      <c r="C21" t="s" s="4">
        <v>47</v>
      </c>
      <c r="D21" t="s" s="5">
        <v>188</v>
      </c>
    </row>
    <row r="22">
      <c r="B22" t="s" s="3">
        <v>196</v>
      </c>
      <c r="C22" s="3"/>
      <c r="D22" s="3"/>
    </row>
    <row r="23">
      <c r="B23" s="4"/>
      <c r="C23" t="s" s="4">
        <v>47</v>
      </c>
      <c r="D23" t="s" s="5">
        <v>196</v>
      </c>
    </row>
    <row r="24">
      <c r="B24" t="s" s="3">
        <v>197</v>
      </c>
      <c r="C24" s="3"/>
      <c r="D24" s="3"/>
    </row>
    <row r="25">
      <c r="B25" s="4"/>
      <c r="C25" t="s" s="4">
        <v>47</v>
      </c>
      <c r="D25" t="s" s="5">
        <v>197</v>
      </c>
    </row>
    <row r="26">
      <c r="B26" t="s" s="3">
        <v>259</v>
      </c>
      <c r="C26" s="3"/>
      <c r="D26" s="3"/>
    </row>
    <row r="27">
      <c r="B27" s="4"/>
      <c r="C27" t="s" s="4">
        <v>47</v>
      </c>
      <c r="D27" t="s" s="5">
        <v>259</v>
      </c>
    </row>
    <row r="28">
      <c r="B28" t="s" s="3">
        <v>416</v>
      </c>
      <c r="C28" s="3"/>
      <c r="D28" s="3"/>
    </row>
    <row r="29">
      <c r="B29" s="4"/>
      <c r="C29" t="s" s="4">
        <v>47</v>
      </c>
      <c r="D29" t="s" s="5">
        <v>416</v>
      </c>
    </row>
  </sheetData>
  <mergeCells count="1">
    <mergeCell ref="B3:D3"/>
  </mergeCells>
  <hyperlinks>
    <hyperlink ref="D10" location="'1_DataCheck - task1_data_check'!R2C1" tooltip="" display="1_DataCheck - task1_data_check"/>
    <hyperlink ref="D12" location="'2_SignalCheck - Table 1'!R2C1" tooltip="" display="2_SignalCheck - Table 1"/>
    <hyperlink ref="D13" location="'2_SignalCheck - Table 1-1'!R1C1" tooltip="" display="2_SignalCheck - Table 1-1"/>
    <hyperlink ref="D15" location="'2b_Maruti - Table 1'!R2C1" tooltip="" display="2b_Maruti - Table 1"/>
    <hyperlink ref="D16" location="'2b_Maruti - Table 1-1'!R1C1" tooltip="" display="2b_Maruti - Table 1-1"/>
    <hyperlink ref="D18" location="'3a_Yearly - Table 1-1'!R1C1" tooltip="" display="3a_Yearly - Table 1-1"/>
    <hyperlink ref="D19" location="'3a_Yearly - task3a_yearly'!R2C1" tooltip="" display="3a_Yearly - task3a_yearly"/>
    <hyperlink ref="D21" location="'3b_Volatility'!R1C1" tooltip="" display="3b_Volatility"/>
    <hyperlink ref="D23" location="'3c_Correlation'!R1C1" tooltip="" display="3c_Correlation"/>
    <hyperlink ref="D25" location="'4_Anomalies'!R1C1" tooltip="" display="4_Anomalies"/>
    <hyperlink ref="D27" location="'5_Backtest'!R1C1" tooltip="" display="5_Backtest"/>
    <hyperlink ref="D29" location="'6_Valuation'!R1C1" tooltip="" display="6_Valuation"/>
  </hyperlinks>
</worksheet>
</file>

<file path=xl/worksheets/sheet2.xml><?xml version="1.0" encoding="utf-8"?>
<worksheet xmlns:r="http://schemas.openxmlformats.org/officeDocument/2006/relationships" xmlns="http://schemas.openxmlformats.org/spreadsheetml/2006/main">
  <sheetPr>
    <pageSetUpPr fitToPage="1"/>
  </sheetPr>
  <dimension ref="A2:N27"/>
  <sheetViews>
    <sheetView workbookViewId="0" showGridLines="0" defaultGridColor="1"/>
  </sheetViews>
  <sheetFormatPr defaultColWidth="8.33333" defaultRowHeight="19.9" customHeight="1" outlineLevelRow="0" outlineLevelCol="0"/>
  <cols>
    <col min="1" max="1" width="11.8516" style="6" customWidth="1"/>
    <col min="2" max="2" width="14.8516" style="6" customWidth="1"/>
    <col min="3" max="3" width="24.1719" style="6" customWidth="1"/>
    <col min="4" max="4" width="10.1719" style="6" customWidth="1"/>
    <col min="5" max="9" width="10.3516" style="6" customWidth="1"/>
    <col min="10" max="10" width="11.7266" style="6" customWidth="1"/>
    <col min="11" max="11" width="10.3516" style="6" customWidth="1"/>
    <col min="12" max="12" width="12" style="6" customWidth="1"/>
    <col min="13" max="13" width="10.3516" style="6" customWidth="1"/>
    <col min="14" max="14" width="41.1797" style="6" customWidth="1"/>
    <col min="15" max="16384" width="8.35156" style="6" customWidth="1"/>
  </cols>
  <sheetData>
    <row r="1" ht="27.65" customHeight="1">
      <c r="A1" t="s" s="7">
        <v>5</v>
      </c>
      <c r="B1" s="7"/>
      <c r="C1" s="7"/>
      <c r="D1" s="7"/>
      <c r="E1" s="7"/>
      <c r="F1" s="7"/>
      <c r="G1" s="7"/>
      <c r="H1" s="7"/>
      <c r="I1" s="7"/>
      <c r="J1" s="7"/>
      <c r="K1" s="7"/>
      <c r="L1" s="7"/>
      <c r="M1" s="7"/>
      <c r="N1" s="7"/>
    </row>
    <row r="2" ht="22.55" customHeight="1">
      <c r="A2" t="s" s="8">
        <v>7</v>
      </c>
      <c r="B2" t="s" s="8">
        <v>8</v>
      </c>
      <c r="C2" t="s" s="8">
        <v>9</v>
      </c>
      <c r="D2" t="s" s="8">
        <v>10</v>
      </c>
      <c r="E2" t="s" s="8">
        <v>11</v>
      </c>
      <c r="F2" t="s" s="8">
        <v>12</v>
      </c>
      <c r="G2" t="s" s="8">
        <v>13</v>
      </c>
      <c r="H2" t="s" s="8">
        <v>14</v>
      </c>
      <c r="I2" t="s" s="8">
        <v>15</v>
      </c>
      <c r="J2" t="s" s="9">
        <v>16</v>
      </c>
      <c r="K2" t="s" s="9">
        <v>17</v>
      </c>
      <c r="L2" t="s" s="9">
        <v>18</v>
      </c>
      <c r="M2" t="s" s="9">
        <v>19</v>
      </c>
      <c r="N2" t="s" s="9">
        <v>20</v>
      </c>
    </row>
    <row r="3" ht="22.55" customHeight="1">
      <c r="A3" t="s" s="10">
        <v>21</v>
      </c>
      <c r="B3" t="s" s="11">
        <v>22</v>
      </c>
      <c r="C3" t="s" s="12">
        <v>23</v>
      </c>
      <c r="D3" t="s" s="12">
        <v>24</v>
      </c>
      <c r="E3" s="13">
        <v>292</v>
      </c>
      <c r="F3" s="13">
        <v>292</v>
      </c>
      <c r="G3" s="13">
        <v>287.5</v>
      </c>
      <c r="H3" s="13">
        <v>290.15</v>
      </c>
      <c r="I3" s="13">
        <v>276.3703</v>
      </c>
      <c r="J3" s="14">
        <v>290.15</v>
      </c>
      <c r="K3" s="13" cm="1">
        <f t="array" ref="K3">IF(J3="","",H3-J3)</f>
        <v>0</v>
      </c>
      <c r="L3" s="15" cm="1">
        <f t="array" ref="L3">IF(J3="","",K3/J3)</f>
        <v>0</v>
      </c>
      <c r="M3" t="str" s="16" cm="1">
        <f t="array" ref="M3">IF(J3="","",IF(ABS(L3)&lt;0.005,"Match","Check"))</f>
        <v>Match</v>
      </c>
      <c r="N3" s="16"/>
    </row>
    <row r="4" ht="22.35" customHeight="1">
      <c r="A4" t="s" s="17">
        <v>21</v>
      </c>
      <c r="B4" t="s" s="18">
        <v>22</v>
      </c>
      <c r="C4" t="s" s="19">
        <v>23</v>
      </c>
      <c r="D4" t="s" s="19">
        <v>26</v>
      </c>
      <c r="E4" s="20">
        <v>273</v>
      </c>
      <c r="F4" s="20">
        <v>273.3</v>
      </c>
      <c r="G4" s="20">
        <v>266.05</v>
      </c>
      <c r="H4" s="20">
        <v>267.75</v>
      </c>
      <c r="I4" s="20">
        <v>255.034</v>
      </c>
      <c r="J4" s="20">
        <v>267.75</v>
      </c>
      <c r="K4" s="20" cm="1">
        <f t="array" ref="K4">IF(J4="","",H4-J4)</f>
        <v>0</v>
      </c>
      <c r="L4" s="21" cm="1">
        <f t="array" ref="L4">IF(J4="","",K4/J4)</f>
        <v>0</v>
      </c>
      <c r="M4" t="str" s="22" cm="1">
        <f t="array" ref="M4">IF(J4="","",IF(ABS(L4)&lt;0.005,"Match","Check"))</f>
        <v>Match</v>
      </c>
      <c r="N4" s="22"/>
    </row>
    <row r="5" ht="22.35" customHeight="1">
      <c r="A5" t="s" s="17">
        <v>21</v>
      </c>
      <c r="B5" t="s" s="18">
        <v>22</v>
      </c>
      <c r="C5" t="s" s="19">
        <v>23</v>
      </c>
      <c r="D5" t="s" s="19">
        <v>27</v>
      </c>
      <c r="E5" s="20">
        <v>615.1</v>
      </c>
      <c r="F5" s="20">
        <v>645</v>
      </c>
      <c r="G5" s="20">
        <v>615.1</v>
      </c>
      <c r="H5" s="20">
        <v>641.1</v>
      </c>
      <c r="I5" s="20">
        <v>614.8801</v>
      </c>
      <c r="J5" s="20">
        <v>641.1</v>
      </c>
      <c r="K5" s="20" cm="1">
        <f t="array" ref="K5">IF(J5="","",H5-J5)</f>
        <v>0</v>
      </c>
      <c r="L5" s="21" cm="1">
        <f t="array" ref="L5">IF(J5="","",K5/J5)</f>
        <v>0</v>
      </c>
      <c r="M5" t="str" s="22" cm="1">
        <f t="array" ref="M5">IF(J5="","",IF(ABS(L5)&lt;0.005,"Match","Check"))</f>
        <v>Match</v>
      </c>
      <c r="N5" s="22"/>
    </row>
    <row r="6" ht="22.35" customHeight="1">
      <c r="A6" t="s" s="17">
        <v>21</v>
      </c>
      <c r="B6" t="s" s="18">
        <v>22</v>
      </c>
      <c r="C6" t="s" s="19">
        <v>23</v>
      </c>
      <c r="D6" t="s" s="19">
        <v>28</v>
      </c>
      <c r="E6" s="20">
        <v>1405.6</v>
      </c>
      <c r="F6" s="20">
        <v>1435</v>
      </c>
      <c r="G6" s="20">
        <v>1403.8</v>
      </c>
      <c r="H6" s="20">
        <v>1428.8</v>
      </c>
      <c r="I6" s="20">
        <v>1406.0063</v>
      </c>
      <c r="J6" s="20">
        <v>1428.8</v>
      </c>
      <c r="K6" s="20" cm="1">
        <f t="array" ref="K6">IF(J6="","",H6-J6)</f>
        <v>0</v>
      </c>
      <c r="L6" s="21" cm="1">
        <f t="array" ref="L6">IF(J6="","",K6/J6)</f>
        <v>0</v>
      </c>
      <c r="M6" t="str" s="22" cm="1">
        <f t="array" ref="M6">IF(J6="","",IF(ABS(L6)&lt;0.005,"Match","Check"))</f>
        <v>Match</v>
      </c>
      <c r="N6" s="22"/>
    </row>
    <row r="7" ht="22.35" customHeight="1">
      <c r="A7" t="s" s="17">
        <v>21</v>
      </c>
      <c r="B7" t="s" s="18">
        <v>22</v>
      </c>
      <c r="C7" t="s" s="19">
        <v>23</v>
      </c>
      <c r="D7" t="s" s="19">
        <v>29</v>
      </c>
      <c r="E7" s="20">
        <v>1257</v>
      </c>
      <c r="F7" s="20">
        <v>1265</v>
      </c>
      <c r="G7" s="20">
        <v>1250</v>
      </c>
      <c r="H7" s="20">
        <v>1262.1</v>
      </c>
      <c r="I7" s="20">
        <v>1251.5488</v>
      </c>
      <c r="J7" s="23">
        <v>1262.1</v>
      </c>
      <c r="K7" s="20" cm="1">
        <f t="array" ref="K7">IF(J7="","",H7-J7)</f>
        <v>0</v>
      </c>
      <c r="L7" s="21" cm="1">
        <f t="array" ref="L7">IF(J7="","",K7/J7)</f>
        <v>0</v>
      </c>
      <c r="M7" t="str" s="22" cm="1">
        <f t="array" ref="M7">IF(J7="","",IF(ABS(L7)&lt;0.005,"Match","Check"))</f>
        <v>Match</v>
      </c>
      <c r="N7" s="22"/>
    </row>
    <row r="8" ht="22.35" customHeight="1">
      <c r="A8" t="s" s="17">
        <v>30</v>
      </c>
      <c r="B8" t="s" s="18">
        <v>31</v>
      </c>
      <c r="C8" t="s" s="19">
        <v>32</v>
      </c>
      <c r="D8" t="s" s="19">
        <v>24</v>
      </c>
      <c r="E8" s="20">
        <v>298.7444</v>
      </c>
      <c r="F8" s="20">
        <v>312.6586</v>
      </c>
      <c r="G8" s="20">
        <v>298.7444</v>
      </c>
      <c r="H8" s="20">
        <v>311.6475</v>
      </c>
      <c r="I8" s="20">
        <v>220.5891</v>
      </c>
      <c r="J8" s="24">
        <v>311.65</v>
      </c>
      <c r="K8" s="20" cm="1">
        <f t="array" ref="K8">IF(J8="","",H8-J8)</f>
        <v>-0.0025</v>
      </c>
      <c r="L8" s="21" cm="1">
        <f t="array" ref="L8">IF(J8="","",K8/J8)</f>
        <v>-8.02181934862827e-06</v>
      </c>
      <c r="M8" t="str" s="22" cm="1">
        <f t="array" ref="M8">IF(J8="","",IF(ABS(L8)&lt;0.005,"Match","Check"))</f>
        <v>Match</v>
      </c>
      <c r="N8" t="s" s="25">
        <v>33</v>
      </c>
    </row>
    <row r="9" ht="22.35" customHeight="1">
      <c r="A9" t="s" s="17">
        <v>30</v>
      </c>
      <c r="B9" t="s" s="18">
        <v>31</v>
      </c>
      <c r="C9" t="s" s="19">
        <v>32</v>
      </c>
      <c r="D9" t="s" s="19">
        <v>26</v>
      </c>
      <c r="E9" s="20">
        <v>267.6904</v>
      </c>
      <c r="F9" s="20">
        <v>267.9793</v>
      </c>
      <c r="G9" s="20">
        <v>259.2168</v>
      </c>
      <c r="H9" s="20">
        <v>260.3723</v>
      </c>
      <c r="I9" s="20">
        <v>187.9531</v>
      </c>
      <c r="J9" s="20">
        <v>260.37</v>
      </c>
      <c r="K9" s="20" cm="1">
        <f t="array" ref="K9">IF(J9="","",H9-J9)</f>
        <v>0.0023</v>
      </c>
      <c r="L9" s="21" cm="1">
        <f t="array" ref="L9">IF(J9="","",K9/J9)</f>
        <v>8.83358297806967e-06</v>
      </c>
      <c r="M9" t="str" s="22" cm="1">
        <f t="array" ref="M9">IF(J9="","",IF(ABS(L9)&lt;0.005,"Match","Check"))</f>
        <v>Match</v>
      </c>
      <c r="N9" t="s" s="25">
        <v>33</v>
      </c>
    </row>
    <row r="10" ht="22.35" customHeight="1">
      <c r="A10" t="s" s="17">
        <v>30</v>
      </c>
      <c r="B10" t="s" s="18">
        <v>31</v>
      </c>
      <c r="C10" t="s" s="19">
        <v>32</v>
      </c>
      <c r="D10" t="s" s="19">
        <v>27</v>
      </c>
      <c r="E10" s="20">
        <v>201.3456</v>
      </c>
      <c r="F10" s="20">
        <v>202.0196</v>
      </c>
      <c r="G10" s="20">
        <v>198.842</v>
      </c>
      <c r="H10" s="20">
        <v>201.1048</v>
      </c>
      <c r="I10" s="20">
        <v>159.8253</v>
      </c>
      <c r="J10" s="20">
        <v>201.1</v>
      </c>
      <c r="K10" s="20" cm="1">
        <f t="array" ref="K10">IF(J10="","",H10-J10)</f>
        <v>0.0048</v>
      </c>
      <c r="L10" s="21" cm="1">
        <f t="array" ref="L10">IF(J10="","",K10/J10)</f>
        <v>2.38687220288414e-05</v>
      </c>
      <c r="M10" t="str" s="22" cm="1">
        <f t="array" ref="M10">IF(J10="","",IF(ABS(L10)&lt;0.005,"Match","Check"))</f>
        <v>Match</v>
      </c>
      <c r="N10" t="s" s="25">
        <v>33</v>
      </c>
    </row>
    <row r="11" ht="22.35" customHeight="1">
      <c r="A11" t="s" s="17">
        <v>30</v>
      </c>
      <c r="B11" t="s" s="18">
        <v>31</v>
      </c>
      <c r="C11" t="s" s="19">
        <v>32</v>
      </c>
      <c r="D11" t="s" s="19">
        <v>28</v>
      </c>
      <c r="E11" s="20">
        <v>426.65</v>
      </c>
      <c r="F11" s="20">
        <v>430.5</v>
      </c>
      <c r="G11" s="20">
        <v>424.75</v>
      </c>
      <c r="H11" s="20">
        <v>428.8</v>
      </c>
      <c r="I11" s="20">
        <v>401.4622</v>
      </c>
      <c r="J11" s="20">
        <v>428.8</v>
      </c>
      <c r="K11" s="20" cm="1">
        <f t="array" ref="K11">IF(J11="","",H11-J11)</f>
        <v>0</v>
      </c>
      <c r="L11" s="21" cm="1">
        <f t="array" ref="L11">IF(J11="","",K11/J11)</f>
        <v>0</v>
      </c>
      <c r="M11" t="str" s="22" cm="1">
        <f t="array" ref="M11">IF(J11="","",IF(ABS(L11)&lt;0.005,"Match","Check"))</f>
        <v>Match</v>
      </c>
      <c r="N11" s="22"/>
    </row>
    <row r="12" ht="22.35" customHeight="1">
      <c r="A12" t="s" s="17">
        <v>30</v>
      </c>
      <c r="B12" t="s" s="18">
        <v>31</v>
      </c>
      <c r="C12" t="s" s="19">
        <v>32</v>
      </c>
      <c r="D12" t="s" s="19">
        <v>29</v>
      </c>
      <c r="E12" s="20">
        <v>280</v>
      </c>
      <c r="F12" s="20">
        <v>281.4</v>
      </c>
      <c r="G12" s="20">
        <v>277.85</v>
      </c>
      <c r="H12" s="20">
        <v>280.7</v>
      </c>
      <c r="I12" s="20">
        <v>280.7</v>
      </c>
      <c r="J12" s="24">
        <v>280.7</v>
      </c>
      <c r="K12" s="20" cm="1">
        <f t="array" ref="K12">IF(J12="","",H12-J12)</f>
        <v>0</v>
      </c>
      <c r="L12" s="21" cm="1">
        <f t="array" ref="L12">IF(J12="","",K12/J12)</f>
        <v>0</v>
      </c>
      <c r="M12" t="str" s="22" cm="1">
        <f t="array" ref="M12">IF(J12="","",IF(ABS(L12)&lt;0.005,"Match","Check"))</f>
        <v>Match</v>
      </c>
      <c r="N12" s="22"/>
    </row>
    <row r="13" ht="22.35" customHeight="1">
      <c r="A13" t="s" s="17">
        <v>34</v>
      </c>
      <c r="B13" t="s" s="18">
        <v>35</v>
      </c>
      <c r="C13" t="s" s="19">
        <v>36</v>
      </c>
      <c r="D13" t="s" s="19">
        <v>24</v>
      </c>
      <c r="E13" s="20">
        <v>7214.7998</v>
      </c>
      <c r="F13" s="20">
        <v>7233.6001</v>
      </c>
      <c r="G13" s="20">
        <v>7157.1499</v>
      </c>
      <c r="H13" s="20">
        <v>7217.6001</v>
      </c>
      <c r="I13" s="20">
        <v>6569.7139</v>
      </c>
      <c r="J13" s="24">
        <v>7217.6</v>
      </c>
      <c r="K13" s="20" cm="1">
        <f t="array" ref="K13">IF(J13="","",H13-J13)</f>
        <v>0.0001</v>
      </c>
      <c r="L13" s="21" cm="1">
        <f t="array" ref="L13">IF(J13="","",K13/J13)</f>
        <v>1.3855021059632e-08</v>
      </c>
      <c r="M13" t="str" s="22" cm="1">
        <f t="array" ref="M13">IF(J13="","",IF(ABS(L13)&lt;0.005,"Match","Check"))</f>
        <v>Match</v>
      </c>
      <c r="N13" t="s" s="19">
        <v>37</v>
      </c>
    </row>
    <row r="14" ht="22.35" customHeight="1">
      <c r="A14" t="s" s="17">
        <v>34</v>
      </c>
      <c r="B14" t="s" s="18">
        <v>35</v>
      </c>
      <c r="C14" t="s" s="19">
        <v>36</v>
      </c>
      <c r="D14" t="s" s="19">
        <v>26</v>
      </c>
      <c r="E14" s="20">
        <v>9408</v>
      </c>
      <c r="F14" s="20">
        <v>9495</v>
      </c>
      <c r="G14" s="20">
        <v>9362.25</v>
      </c>
      <c r="H14" s="20">
        <v>9431.049800000001</v>
      </c>
      <c r="I14" s="20">
        <v>8670.3398</v>
      </c>
      <c r="J14" s="20">
        <v>9431.049999999999</v>
      </c>
      <c r="K14" s="20" cm="1">
        <f t="array" ref="K14">IF(J14="","",H14-J14)</f>
        <v>-0.0002</v>
      </c>
      <c r="L14" s="21" cm="1">
        <f t="array" ref="L14">IF(J14="","",K14/J14)</f>
        <v>-2.12065464608925e-08</v>
      </c>
      <c r="M14" t="str" s="22" cm="1">
        <f t="array" ref="M14">IF(J14="","",IF(ABS(L14)&lt;0.005,"Match","Check"))</f>
        <v>Match</v>
      </c>
      <c r="N14" t="s" s="19">
        <v>37</v>
      </c>
    </row>
    <row r="15" ht="22.35" customHeight="1">
      <c r="A15" t="s" s="17">
        <v>34</v>
      </c>
      <c r="B15" t="s" s="18">
        <v>35</v>
      </c>
      <c r="C15" t="s" s="19">
        <v>36</v>
      </c>
      <c r="D15" t="s" s="19">
        <v>27</v>
      </c>
      <c r="E15" s="20">
        <v>6905</v>
      </c>
      <c r="F15" s="20">
        <v>7036</v>
      </c>
      <c r="G15" s="20">
        <v>6877.5</v>
      </c>
      <c r="H15" s="20">
        <v>6952.9502</v>
      </c>
      <c r="I15" s="20">
        <v>6597.708</v>
      </c>
      <c r="J15" s="20">
        <v>6952.95</v>
      </c>
      <c r="K15" s="20" cm="1">
        <f t="array" ref="K15">IF(J15="","",H15-J15)</f>
        <v>0.0002</v>
      </c>
      <c r="L15" s="21" cm="1">
        <f t="array" ref="L15">IF(J15="","",K15/J15)</f>
        <v>2.87647689110378e-08</v>
      </c>
      <c r="M15" t="str" s="22" cm="1">
        <f t="array" ref="M15">IF(J15="","",IF(ABS(L15)&lt;0.005,"Match","Check"))</f>
        <v>Match</v>
      </c>
      <c r="N15" t="s" s="19">
        <v>37</v>
      </c>
    </row>
    <row r="16" ht="22.35" customHeight="1">
      <c r="A16" t="s" s="17">
        <v>34</v>
      </c>
      <c r="B16" t="s" s="18">
        <v>35</v>
      </c>
      <c r="C16" t="s" s="19">
        <v>36</v>
      </c>
      <c r="D16" t="s" s="19">
        <v>28</v>
      </c>
      <c r="E16" s="20">
        <v>11428</v>
      </c>
      <c r="F16" s="20">
        <v>11896</v>
      </c>
      <c r="G16" s="20">
        <v>11289</v>
      </c>
      <c r="H16" s="20">
        <v>11846</v>
      </c>
      <c r="I16" s="20">
        <v>11602.6338</v>
      </c>
      <c r="J16" s="20">
        <v>11846</v>
      </c>
      <c r="K16" s="20" cm="1">
        <f t="array" ref="K16">IF(J16="","",H16-J16)</f>
        <v>0</v>
      </c>
      <c r="L16" s="21" cm="1">
        <f t="array" ref="L16">IF(J16="","",K16/J16)</f>
        <v>0</v>
      </c>
      <c r="M16" t="str" s="22" cm="1">
        <f t="array" ref="M16">IF(J16="","",IF(ABS(L16)&lt;0.005,"Match","Check"))</f>
        <v>Match</v>
      </c>
      <c r="N16" s="22"/>
    </row>
    <row r="17" ht="22.35" customHeight="1">
      <c r="A17" t="s" s="17">
        <v>34</v>
      </c>
      <c r="B17" t="s" s="18">
        <v>35</v>
      </c>
      <c r="C17" t="s" s="19">
        <v>36</v>
      </c>
      <c r="D17" t="s" s="19">
        <v>29</v>
      </c>
      <c r="E17" s="20">
        <v>13151</v>
      </c>
      <c r="F17" s="20">
        <v>13175</v>
      </c>
      <c r="G17" s="20">
        <v>12915</v>
      </c>
      <c r="H17" s="20">
        <v>13050</v>
      </c>
      <c r="I17" s="20">
        <v>12920.2412</v>
      </c>
      <c r="J17" s="20">
        <v>13050</v>
      </c>
      <c r="K17" s="20" cm="1">
        <f t="array" ref="K17">IF(J17="","",H17-J17)</f>
        <v>0</v>
      </c>
      <c r="L17" s="21" cm="1">
        <f t="array" ref="L17">IF(J17="","",K17/J17)</f>
        <v>0</v>
      </c>
      <c r="M17" t="str" s="22" cm="1">
        <f t="array" ref="M17">IF(J17="","",IF(ABS(L17)&lt;0.005,"Match","Check"))</f>
        <v>Match</v>
      </c>
      <c r="N17" s="22"/>
    </row>
    <row r="18" ht="22.35" customHeight="1">
      <c r="A18" t="s" s="17">
        <v>38</v>
      </c>
      <c r="B18" t="s" s="18">
        <v>39</v>
      </c>
      <c r="C18" t="s" s="19">
        <v>40</v>
      </c>
      <c r="D18" t="s" s="19">
        <v>24</v>
      </c>
      <c r="E18" s="20">
        <v>538.8</v>
      </c>
      <c r="F18" s="20">
        <v>560.95</v>
      </c>
      <c r="G18" s="20">
        <v>538</v>
      </c>
      <c r="H18" s="20">
        <v>555.7</v>
      </c>
      <c r="I18" s="20">
        <v>509.9059</v>
      </c>
      <c r="J18" s="24">
        <v>555.7</v>
      </c>
      <c r="K18" s="20" cm="1">
        <f t="array" ref="K18">IF(J18="","",H18-J18)</f>
        <v>0</v>
      </c>
      <c r="L18" s="21" cm="1">
        <f t="array" ref="L18">IF(J18="","",K18/J18)</f>
        <v>0</v>
      </c>
      <c r="M18" t="str" s="22" cm="1">
        <f t="array" ref="M18">IF(J18="","",IF(ABS(L18)&lt;0.005,"Match","Check"))</f>
        <v>Match</v>
      </c>
      <c r="N18" s="22"/>
    </row>
    <row r="19" ht="22.35" customHeight="1">
      <c r="A19" t="s" s="17">
        <v>38</v>
      </c>
      <c r="B19" t="s" s="18">
        <v>39</v>
      </c>
      <c r="C19" t="s" s="19">
        <v>40</v>
      </c>
      <c r="D19" t="s" s="19">
        <v>26</v>
      </c>
      <c r="E19" s="20">
        <v>566.8</v>
      </c>
      <c r="F19" s="20">
        <v>567</v>
      </c>
      <c r="G19" s="20">
        <v>557.05</v>
      </c>
      <c r="H19" s="20">
        <v>559.75</v>
      </c>
      <c r="I19" s="20">
        <v>517.0737</v>
      </c>
      <c r="J19" s="20">
        <v>559.75</v>
      </c>
      <c r="K19" s="20" cm="1">
        <f t="array" ref="K19">IF(J19="","",H19-J19)</f>
        <v>0</v>
      </c>
      <c r="L19" s="21" cm="1">
        <f t="array" ref="L19">IF(J19="","",K19/J19)</f>
        <v>0</v>
      </c>
      <c r="M19" t="str" s="22" cm="1">
        <f t="array" ref="M19">IF(J19="","",IF(ABS(L19)&lt;0.005,"Match","Check"))</f>
        <v>Match</v>
      </c>
      <c r="N19" s="22"/>
    </row>
    <row r="20" ht="22.35" customHeight="1">
      <c r="A20" t="s" s="17">
        <v>38</v>
      </c>
      <c r="B20" t="s" s="18">
        <v>39</v>
      </c>
      <c r="C20" t="s" s="19">
        <v>40</v>
      </c>
      <c r="D20" t="s" s="19">
        <v>27</v>
      </c>
      <c r="E20" s="20">
        <v>607.1</v>
      </c>
      <c r="F20" s="20">
        <v>609.35</v>
      </c>
      <c r="G20" s="20">
        <v>595.85</v>
      </c>
      <c r="H20" s="20">
        <v>601.45</v>
      </c>
      <c r="I20" s="20">
        <v>570.9640000000001</v>
      </c>
      <c r="J20" s="20">
        <v>601.45</v>
      </c>
      <c r="K20" s="20" cm="1">
        <f t="array" ref="K20">IF(J20="","",H20-J20)</f>
        <v>0</v>
      </c>
      <c r="L20" s="21" cm="1">
        <f t="array" ref="L20">IF(J20="","",K20/J20)</f>
        <v>0</v>
      </c>
      <c r="M20" t="str" s="22" cm="1">
        <f t="array" ref="M20">IF(J20="","",IF(ABS(L20)&lt;0.005,"Match","Check"))</f>
        <v>Match</v>
      </c>
      <c r="N20" s="22"/>
    </row>
    <row r="21" ht="22.35" customHeight="1">
      <c r="A21" t="s" s="17">
        <v>38</v>
      </c>
      <c r="B21" t="s" s="18">
        <v>39</v>
      </c>
      <c r="C21" t="s" s="19">
        <v>40</v>
      </c>
      <c r="D21" t="s" s="19">
        <v>28</v>
      </c>
      <c r="E21" s="20">
        <v>1787.4</v>
      </c>
      <c r="F21" s="20">
        <v>1846</v>
      </c>
      <c r="G21" s="20">
        <v>1781.2</v>
      </c>
      <c r="H21" s="20">
        <v>1841.6</v>
      </c>
      <c r="I21" s="20">
        <v>1818.9441</v>
      </c>
      <c r="J21" s="20">
        <v>1841.6</v>
      </c>
      <c r="K21" s="20" cm="1">
        <f t="array" ref="K21">IF(J21="","",H21-J21)</f>
        <v>0</v>
      </c>
      <c r="L21" s="21" cm="1">
        <f t="array" ref="L21">IF(J21="","",K21/J21)</f>
        <v>0</v>
      </c>
      <c r="M21" t="str" s="22" cm="1">
        <f t="array" ref="M21">IF(J21="","",IF(ABS(L21)&lt;0.005,"Match","Check"))</f>
        <v>Match</v>
      </c>
      <c r="N21" s="22"/>
    </row>
    <row r="22" ht="22.35" customHeight="1">
      <c r="A22" t="s" s="17">
        <v>38</v>
      </c>
      <c r="B22" t="s" s="18">
        <v>39</v>
      </c>
      <c r="C22" t="s" s="19">
        <v>40</v>
      </c>
      <c r="D22" t="s" s="19">
        <v>29</v>
      </c>
      <c r="E22" s="20">
        <v>1789</v>
      </c>
      <c r="F22" s="20">
        <v>1802.9</v>
      </c>
      <c r="G22" s="20">
        <v>1779</v>
      </c>
      <c r="H22" s="20">
        <v>1782.2</v>
      </c>
      <c r="I22" s="20">
        <v>1777.5414</v>
      </c>
      <c r="J22" s="20">
        <v>1782.2</v>
      </c>
      <c r="K22" s="20" cm="1">
        <f t="array" ref="K22">IF(J22="","",H22-J22)</f>
        <v>0</v>
      </c>
      <c r="L22" s="21" cm="1">
        <f t="array" ref="L22">IF(J22="","",K22/J22)</f>
        <v>0</v>
      </c>
      <c r="M22" t="str" s="22" cm="1">
        <f t="array" ref="M22">IF(J22="","",IF(ABS(L22)&lt;0.005,"Match","Check"))</f>
        <v>Match</v>
      </c>
      <c r="N22" s="22"/>
    </row>
    <row r="23" ht="22.35" customHeight="1">
      <c r="A23" t="s" s="17">
        <v>41</v>
      </c>
      <c r="B23" t="s" s="18">
        <v>42</v>
      </c>
      <c r="C23" t="s" s="19">
        <v>43</v>
      </c>
      <c r="D23" t="s" s="19">
        <v>24</v>
      </c>
      <c r="E23" s="20">
        <v>96.3</v>
      </c>
      <c r="F23" s="20">
        <v>97.8188</v>
      </c>
      <c r="G23" s="20">
        <v>96.075</v>
      </c>
      <c r="H23" s="20">
        <v>96.8813</v>
      </c>
      <c r="I23" s="20">
        <v>87.4113</v>
      </c>
      <c r="J23" s="24">
        <v>96.88</v>
      </c>
      <c r="K23" s="20" cm="1">
        <f t="array" ref="K23">IF(J23="","",H23-J23)</f>
        <v>0.0013</v>
      </c>
      <c r="L23" s="21" cm="1">
        <f t="array" ref="L23">IF(J23="","",K23/J23)</f>
        <v>1.34186622625929e-05</v>
      </c>
      <c r="M23" t="str" s="22" cm="1">
        <f t="array" ref="M23">IF(J23="","",IF(ABS(L23)&lt;0.005,"Match","Check"))</f>
        <v>Match</v>
      </c>
      <c r="N23" t="s" s="25">
        <v>44</v>
      </c>
    </row>
    <row r="24" ht="22.35" customHeight="1">
      <c r="A24" t="s" s="17">
        <v>41</v>
      </c>
      <c r="B24" t="s" s="18">
        <v>42</v>
      </c>
      <c r="C24" t="s" s="19">
        <v>43</v>
      </c>
      <c r="D24" t="s" s="19">
        <v>26</v>
      </c>
      <c r="E24" s="20">
        <v>104.925</v>
      </c>
      <c r="F24" s="20">
        <v>108.675</v>
      </c>
      <c r="G24" s="20">
        <v>104.3438</v>
      </c>
      <c r="H24" s="20">
        <v>105.3188</v>
      </c>
      <c r="I24" s="20">
        <v>95.3342</v>
      </c>
      <c r="J24" s="20">
        <v>105.32</v>
      </c>
      <c r="K24" s="20" cm="1">
        <f t="array" ref="K24">IF(J24="","",H24-J24)</f>
        <v>-0.0012</v>
      </c>
      <c r="L24" s="21" cm="1">
        <f t="array" ref="L24">IF(J24="","",K24/J24)</f>
        <v>-1.13938473224459e-05</v>
      </c>
      <c r="M24" t="str" s="22" cm="1">
        <f t="array" ref="M24">IF(J24="","",IF(ABS(L24)&lt;0.005,"Match","Check"))</f>
        <v>Match</v>
      </c>
      <c r="N24" t="s" s="25">
        <v>44</v>
      </c>
    </row>
    <row r="25" ht="22.35" customHeight="1">
      <c r="A25" t="s" s="17">
        <v>41</v>
      </c>
      <c r="B25" t="s" s="18">
        <v>42</v>
      </c>
      <c r="C25" t="s" s="19">
        <v>43</v>
      </c>
      <c r="D25" t="s" s="19">
        <v>27</v>
      </c>
      <c r="E25" s="20">
        <v>208.85</v>
      </c>
      <c r="F25" s="20">
        <v>212.9</v>
      </c>
      <c r="G25" s="20">
        <v>207.375</v>
      </c>
      <c r="H25" s="20">
        <v>211.55</v>
      </c>
      <c r="I25" s="20">
        <v>193.2439</v>
      </c>
      <c r="J25" s="20">
        <v>211.55</v>
      </c>
      <c r="K25" s="20" cm="1">
        <f t="array" ref="K25">IF(J25="","",H25-J25)</f>
        <v>0</v>
      </c>
      <c r="L25" s="21" cm="1">
        <f t="array" ref="L25">IF(J25="","",K25/J25)</f>
        <v>0</v>
      </c>
      <c r="M25" t="str" s="22" cm="1">
        <f t="array" ref="M25">IF(J25="","",IF(ABS(L25)&lt;0.005,"Match","Check"))</f>
        <v>Match</v>
      </c>
      <c r="N25" t="s" s="25">
        <v>45</v>
      </c>
    </row>
    <row r="26" ht="22.35" customHeight="1">
      <c r="A26" t="s" s="17">
        <v>41</v>
      </c>
      <c r="B26" t="s" s="18">
        <v>42</v>
      </c>
      <c r="C26" t="s" s="19">
        <v>43</v>
      </c>
      <c r="D26" t="s" s="19">
        <v>28</v>
      </c>
      <c r="E26" s="20">
        <v>240.5</v>
      </c>
      <c r="F26" s="20">
        <v>241.95</v>
      </c>
      <c r="G26" s="20">
        <v>238.75</v>
      </c>
      <c r="H26" s="20">
        <v>240.5</v>
      </c>
      <c r="I26" s="20">
        <v>227.3284</v>
      </c>
      <c r="J26" s="20">
        <v>240.5</v>
      </c>
      <c r="K26" s="20" cm="1">
        <f t="array" ref="K26">IF(J26="","",H26-J26)</f>
        <v>0</v>
      </c>
      <c r="L26" s="21" cm="1">
        <f t="array" ref="L26">IF(J26="","",K26/J26)</f>
        <v>0</v>
      </c>
      <c r="M26" t="str" s="22" cm="1">
        <f t="array" ref="M26">IF(J26="","",IF(ABS(L26)&lt;0.005,"Match","Check"))</f>
        <v>Match</v>
      </c>
      <c r="N26" s="22"/>
    </row>
    <row r="27" ht="22.35" customHeight="1">
      <c r="A27" t="s" s="17">
        <v>41</v>
      </c>
      <c r="B27" t="s" s="18">
        <v>42</v>
      </c>
      <c r="C27" t="s" s="19">
        <v>43</v>
      </c>
      <c r="D27" t="s" s="19">
        <v>29</v>
      </c>
      <c r="E27" s="20">
        <v>191.52</v>
      </c>
      <c r="F27" s="20">
        <v>199</v>
      </c>
      <c r="G27" s="20">
        <v>188.15</v>
      </c>
      <c r="H27" s="20">
        <v>198.37</v>
      </c>
      <c r="I27" s="20">
        <v>196.13</v>
      </c>
      <c r="J27" s="20">
        <v>198.37</v>
      </c>
      <c r="K27" s="20" cm="1">
        <f t="array" ref="K27">IF(J27="","",H27-J27)</f>
        <v>0</v>
      </c>
      <c r="L27" s="21" cm="1">
        <f t="array" ref="L27">IF(J27="","",K27/J27)</f>
        <v>0</v>
      </c>
      <c r="M27" t="str" s="22" cm="1">
        <f t="array" ref="M27">IF(J27="","",IF(ABS(L27)&lt;0.005,"Match","Check"))</f>
        <v>Match</v>
      </c>
      <c r="N27" s="22"/>
    </row>
  </sheetData>
  <mergeCells count="1">
    <mergeCell ref="A1:N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E1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26" customWidth="1"/>
    <col min="6" max="16384" width="16.3516" style="26" customWidth="1"/>
  </cols>
  <sheetData>
    <row r="1" ht="27.65" customHeight="1">
      <c r="A1" t="s" s="7">
        <v>47</v>
      </c>
      <c r="B1" s="7"/>
      <c r="C1" s="7"/>
      <c r="D1" s="7"/>
      <c r="E1" s="7"/>
    </row>
    <row r="2" ht="20.25" customHeight="1">
      <c r="A2" s="27"/>
      <c r="B2" s="27"/>
      <c r="C2" s="27"/>
      <c r="D2" s="27"/>
      <c r="E2" s="27"/>
    </row>
    <row r="3" ht="20.25" customHeight="1">
      <c r="A3" s="28"/>
      <c r="B3" s="29"/>
      <c r="C3" s="30"/>
      <c r="D3" s="30"/>
      <c r="E3" s="30"/>
    </row>
    <row r="4" ht="20.05" customHeight="1">
      <c r="A4" s="31"/>
      <c r="B4" s="32"/>
      <c r="C4" s="33"/>
      <c r="D4" s="33"/>
      <c r="E4" s="33"/>
    </row>
    <row r="5" ht="20.05" customHeight="1">
      <c r="A5" s="31"/>
      <c r="B5" s="32"/>
      <c r="C5" s="33"/>
      <c r="D5" s="33"/>
      <c r="E5" s="33"/>
    </row>
    <row r="6" ht="20.05" customHeight="1">
      <c r="A6" s="31"/>
      <c r="B6" s="32"/>
      <c r="C6" s="33"/>
      <c r="D6" s="33"/>
      <c r="E6" s="33"/>
    </row>
    <row r="7" ht="20.05" customHeight="1">
      <c r="A7" s="31"/>
      <c r="B7" s="32"/>
      <c r="C7" s="33"/>
      <c r="D7" s="33"/>
      <c r="E7" s="33"/>
    </row>
    <row r="8" ht="20.05" customHeight="1">
      <c r="A8" s="31"/>
      <c r="B8" s="32"/>
      <c r="C8" s="33"/>
      <c r="D8" s="33"/>
      <c r="E8" s="33"/>
    </row>
    <row r="9" ht="20.05" customHeight="1">
      <c r="A9" s="31"/>
      <c r="B9" s="32"/>
      <c r="C9" s="33"/>
      <c r="D9" s="33"/>
      <c r="E9" s="33"/>
    </row>
    <row r="10" ht="20.05" customHeight="1">
      <c r="A10" s="31"/>
      <c r="B10" s="32"/>
      <c r="C10" s="33"/>
      <c r="D10" s="33"/>
      <c r="E10" s="33"/>
    </row>
    <row r="11" ht="20.05" customHeight="1">
      <c r="A11" s="31"/>
      <c r="B11" s="32"/>
      <c r="C11" s="33"/>
      <c r="D11" s="33"/>
      <c r="E11" s="33"/>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P106"/>
  <sheetViews>
    <sheetView workbookViewId="0" showGridLines="0" defaultGridColor="1"/>
  </sheetViews>
  <sheetFormatPr defaultColWidth="8.66667" defaultRowHeight="15.4" customHeight="1" outlineLevelRow="0" outlineLevelCol="0"/>
  <cols>
    <col min="1" max="1" width="14" style="34" customWidth="1"/>
    <col min="2" max="2" width="12" style="34" customWidth="1"/>
    <col min="3" max="3" width="10" style="34" customWidth="1"/>
    <col min="4" max="4" width="11" style="34" customWidth="1"/>
    <col min="5" max="5" width="13" style="34" customWidth="1"/>
    <col min="6" max="6" width="11" style="34" customWidth="1"/>
    <col min="7" max="7" width="8" style="34" customWidth="1"/>
    <col min="8" max="8" width="10" style="34" customWidth="1"/>
    <col min="9" max="10" width="9" style="34" customWidth="1"/>
    <col min="11" max="13" width="11" style="34" customWidth="1"/>
    <col min="14" max="16" width="10" style="34" customWidth="1"/>
    <col min="17" max="16384" width="8.67188" style="34" customWidth="1"/>
  </cols>
  <sheetData>
    <row r="1" ht="13.65" customHeight="1">
      <c r="A1" t="s" s="35">
        <v>8</v>
      </c>
      <c r="B1" t="s" s="36">
        <v>10</v>
      </c>
      <c r="C1" t="s" s="36">
        <v>14</v>
      </c>
      <c r="D1" t="s" s="36">
        <v>15</v>
      </c>
      <c r="E1" t="s" s="36">
        <v>51</v>
      </c>
      <c r="F1" t="s" s="36">
        <v>52</v>
      </c>
      <c r="G1" t="s" s="36">
        <v>53</v>
      </c>
      <c r="H1" t="s" s="36">
        <v>54</v>
      </c>
      <c r="I1" t="s" s="36">
        <v>55</v>
      </c>
      <c r="J1" t="s" s="36">
        <v>56</v>
      </c>
      <c r="K1" t="s" s="36">
        <v>57</v>
      </c>
      <c r="L1" t="s" s="36">
        <v>58</v>
      </c>
      <c r="M1" t="s" s="36">
        <v>59</v>
      </c>
      <c r="N1" t="s" s="36">
        <v>60</v>
      </c>
      <c r="O1" t="s" s="36">
        <v>61</v>
      </c>
      <c r="P1" t="s" s="37">
        <v>62</v>
      </c>
    </row>
    <row r="2" ht="13.65" customHeight="1">
      <c r="A2" t="s" s="38">
        <v>22</v>
      </c>
      <c r="B2" t="s" s="38">
        <v>63</v>
      </c>
      <c r="C2" s="39">
        <v>1242.8</v>
      </c>
      <c r="D2" s="40">
        <v>1232.4102</v>
      </c>
      <c r="E2" s="41">
        <v>-0.091255</v>
      </c>
      <c r="F2" s="40">
        <v>1268.0239</v>
      </c>
      <c r="G2" s="39">
        <v>42.64</v>
      </c>
      <c r="H2" s="40"/>
      <c r="I2" s="40"/>
      <c r="J2" s="40"/>
      <c r="K2" s="41"/>
      <c r="L2" s="41"/>
      <c r="M2" s="40"/>
      <c r="N2" s="40"/>
      <c r="O2" s="39"/>
      <c r="P2" s="40"/>
    </row>
    <row r="3" ht="13.65" customHeight="1">
      <c r="A3" t="s" s="42">
        <v>22</v>
      </c>
      <c r="B3" t="s" s="42">
        <v>64</v>
      </c>
      <c r="C3" s="43">
        <v>1264.3</v>
      </c>
      <c r="D3" s="44">
        <v>1253.7305</v>
      </c>
      <c r="E3" s="45">
        <v>-0.062092</v>
      </c>
      <c r="F3" s="44">
        <v>1267.0501</v>
      </c>
      <c r="G3" s="43">
        <v>47.89</v>
      </c>
      <c r="H3" s="44" cm="1">
        <f t="array" ref="H3">D3-D2</f>
        <v>21.3203</v>
      </c>
      <c r="I3" s="44" cm="1">
        <f t="array" ref="I3">MAX(H3,0)</f>
        <v>21.3203</v>
      </c>
      <c r="J3" s="44" cm="1">
        <f t="array" ref="J3">MAX(-H3,0)</f>
        <v>0</v>
      </c>
      <c r="K3" s="45"/>
      <c r="L3" s="45"/>
      <c r="M3" s="44"/>
      <c r="N3" s="44"/>
      <c r="O3" s="43"/>
      <c r="P3" s="44"/>
    </row>
    <row r="4" ht="13.65" customHeight="1">
      <c r="A4" t="s" s="42">
        <v>22</v>
      </c>
      <c r="B4" t="s" s="42">
        <v>65</v>
      </c>
      <c r="C4" s="43">
        <v>1291.8</v>
      </c>
      <c r="D4" s="44">
        <v>1281.0006</v>
      </c>
      <c r="E4" s="45">
        <v>-0.025939</v>
      </c>
      <c r="F4" s="44">
        <v>1267.3159</v>
      </c>
      <c r="G4" s="43">
        <v>62.49</v>
      </c>
      <c r="H4" s="44" cm="1">
        <f t="array" ref="H4">D4-D3</f>
        <v>27.2701</v>
      </c>
      <c r="I4" s="44" cm="1">
        <f t="array" ref="I4">MAX(H4,0)</f>
        <v>27.2701</v>
      </c>
      <c r="J4" s="44" cm="1">
        <f t="array" ref="J4">MAX(-H4,0)</f>
        <v>0</v>
      </c>
      <c r="K4" s="45"/>
      <c r="L4" s="45"/>
      <c r="M4" s="44"/>
      <c r="N4" s="44"/>
      <c r="O4" s="43"/>
      <c r="P4" s="44"/>
    </row>
    <row r="5" ht="13.65" customHeight="1">
      <c r="A5" t="s" s="42">
        <v>22</v>
      </c>
      <c r="B5" t="s" s="42">
        <v>66</v>
      </c>
      <c r="C5" s="43">
        <v>1279.1</v>
      </c>
      <c r="D5" s="44">
        <v>1268.4066</v>
      </c>
      <c r="E5" s="45">
        <v>-0.026634</v>
      </c>
      <c r="F5" s="44">
        <v>1266.6654</v>
      </c>
      <c r="G5" s="43">
        <v>49.86</v>
      </c>
      <c r="H5" s="44" cm="1">
        <f t="array" ref="H5">D5-D4</f>
        <v>-12.594</v>
      </c>
      <c r="I5" s="44" cm="1">
        <f t="array" ref="I5">MAX(H5,0)</f>
        <v>0</v>
      </c>
      <c r="J5" s="44" cm="1">
        <f t="array" ref="J5">MAX(-H5,0)</f>
        <v>12.594</v>
      </c>
      <c r="K5" s="45"/>
      <c r="L5" s="45"/>
      <c r="M5" s="44"/>
      <c r="N5" s="44"/>
      <c r="O5" s="43"/>
      <c r="P5" s="44"/>
    </row>
    <row r="6" ht="13.65" customHeight="1">
      <c r="A6" t="s" s="42">
        <v>22</v>
      </c>
      <c r="B6" t="s" s="42">
        <v>67</v>
      </c>
      <c r="C6" s="43">
        <v>1272.7</v>
      </c>
      <c r="D6" s="44">
        <v>1262.0602</v>
      </c>
      <c r="E6" s="45">
        <v>-0.014938</v>
      </c>
      <c r="F6" s="44">
        <v>1266.231</v>
      </c>
      <c r="G6" s="43">
        <v>47.93</v>
      </c>
      <c r="H6" s="44" cm="1">
        <f t="array" ref="H6">D6-D5</f>
        <v>-6.3464</v>
      </c>
      <c r="I6" s="44" cm="1">
        <f t="array" ref="I6">MAX(H6,0)</f>
        <v>0</v>
      </c>
      <c r="J6" s="44" cm="1">
        <f t="array" ref="J6">MAX(-H6,0)</f>
        <v>6.3464</v>
      </c>
      <c r="K6" s="45"/>
      <c r="L6" s="45"/>
      <c r="M6" s="44"/>
      <c r="N6" s="44"/>
      <c r="O6" s="43"/>
      <c r="P6" s="44"/>
    </row>
    <row r="7" ht="13.65" customHeight="1">
      <c r="A7" t="s" s="42">
        <v>22</v>
      </c>
      <c r="B7" t="s" s="42">
        <v>68</v>
      </c>
      <c r="C7" s="43">
        <v>1256.4</v>
      </c>
      <c r="D7" s="44">
        <v>1245.8965</v>
      </c>
      <c r="E7" s="45">
        <v>-0.019204</v>
      </c>
      <c r="F7" s="44">
        <v>1266.0307</v>
      </c>
      <c r="G7" s="43">
        <v>47.28</v>
      </c>
      <c r="H7" s="44" cm="1">
        <f t="array" ref="H7">D7-D6</f>
        <v>-16.1637</v>
      </c>
      <c r="I7" s="44" cm="1">
        <f t="array" ref="I7">MAX(H7,0)</f>
        <v>0</v>
      </c>
      <c r="J7" s="44" cm="1">
        <f t="array" ref="J7">MAX(-H7,0)</f>
        <v>16.1637</v>
      </c>
      <c r="K7" s="45"/>
      <c r="L7" s="45"/>
      <c r="M7" s="44"/>
      <c r="N7" s="44"/>
      <c r="O7" s="43"/>
      <c r="P7" s="44"/>
    </row>
    <row r="8" ht="13.65" customHeight="1">
      <c r="A8" t="s" s="42">
        <v>22</v>
      </c>
      <c r="B8" t="s" s="42">
        <v>69</v>
      </c>
      <c r="C8" s="43">
        <v>1239.7</v>
      </c>
      <c r="D8" s="44">
        <v>1229.3361</v>
      </c>
      <c r="E8" s="45">
        <v>-0.018759</v>
      </c>
      <c r="F8" s="44">
        <v>1265.7313</v>
      </c>
      <c r="G8" s="43">
        <v>42.13</v>
      </c>
      <c r="H8" s="44" cm="1">
        <f t="array" ref="H8">D8-D7</f>
        <v>-16.5604</v>
      </c>
      <c r="I8" s="44" cm="1">
        <f t="array" ref="I8">MAX(H8,0)</f>
        <v>0</v>
      </c>
      <c r="J8" s="44" cm="1">
        <f t="array" ref="J8">MAX(-H8,0)</f>
        <v>16.5604</v>
      </c>
      <c r="K8" s="45"/>
      <c r="L8" s="45"/>
      <c r="M8" s="44"/>
      <c r="N8" s="44"/>
      <c r="O8" s="43"/>
      <c r="P8" s="44"/>
    </row>
    <row r="9" ht="13.65" customHeight="1">
      <c r="A9" t="s" s="42">
        <v>22</v>
      </c>
      <c r="B9" t="s" s="42">
        <v>70</v>
      </c>
      <c r="C9" s="43">
        <v>1226.6</v>
      </c>
      <c r="D9" s="44">
        <v>1216.3456</v>
      </c>
      <c r="E9" s="45">
        <v>-0.034781</v>
      </c>
      <c r="F9" s="44">
        <v>1264.813</v>
      </c>
      <c r="G9" s="43">
        <v>45.63</v>
      </c>
      <c r="H9" s="44" cm="1">
        <f t="array" ref="H9">D9-D8</f>
        <v>-12.9905</v>
      </c>
      <c r="I9" s="44" cm="1">
        <f t="array" ref="I9">MAX(H9,0)</f>
        <v>0</v>
      </c>
      <c r="J9" s="44" cm="1">
        <f t="array" ref="J9">MAX(-H9,0)</f>
        <v>12.9905</v>
      </c>
      <c r="K9" s="45"/>
      <c r="L9" s="45"/>
      <c r="M9" s="44"/>
      <c r="N9" s="44"/>
      <c r="O9" s="43"/>
      <c r="P9" s="44"/>
    </row>
    <row r="10" ht="13.65" customHeight="1">
      <c r="A10" t="s" s="42">
        <v>22</v>
      </c>
      <c r="B10" t="s" s="42">
        <v>71</v>
      </c>
      <c r="C10" s="43">
        <v>1242</v>
      </c>
      <c r="D10" s="44">
        <v>1231.6168</v>
      </c>
      <c r="E10" s="45">
        <v>-0.007432</v>
      </c>
      <c r="F10" s="44">
        <v>1263.8868</v>
      </c>
      <c r="G10" s="43">
        <v>51.91</v>
      </c>
      <c r="H10" s="44" cm="1">
        <f t="array" ref="H10">D10-D9</f>
        <v>15.2712</v>
      </c>
      <c r="I10" s="44" cm="1">
        <f t="array" ref="I10">MAX(H10,0)</f>
        <v>15.2712</v>
      </c>
      <c r="J10" s="44" cm="1">
        <f t="array" ref="J10">MAX(-H10,0)</f>
        <v>0</v>
      </c>
      <c r="K10" s="45"/>
      <c r="L10" s="45"/>
      <c r="M10" s="44"/>
      <c r="N10" s="44"/>
      <c r="O10" s="43"/>
      <c r="P10" s="44"/>
    </row>
    <row r="11" ht="13.65" customHeight="1">
      <c r="A11" t="s" s="42">
        <v>22</v>
      </c>
      <c r="B11" t="s" s="42">
        <v>72</v>
      </c>
      <c r="C11" s="43">
        <v>1251.7</v>
      </c>
      <c r="D11" s="44">
        <v>1241.2357</v>
      </c>
      <c r="E11" s="45">
        <v>-0.021727</v>
      </c>
      <c r="F11" s="44">
        <v>1263.1411</v>
      </c>
      <c r="G11" s="43">
        <v>51.71</v>
      </c>
      <c r="H11" s="44" cm="1">
        <f t="array" ref="H11">D11-D10</f>
        <v>9.6189</v>
      </c>
      <c r="I11" s="44" cm="1">
        <f t="array" ref="I11">MAX(H11,0)</f>
        <v>9.6189</v>
      </c>
      <c r="J11" s="44" cm="1">
        <f t="array" ref="J11">MAX(-H11,0)</f>
        <v>0</v>
      </c>
      <c r="K11" s="45"/>
      <c r="L11" s="45"/>
      <c r="M11" s="44"/>
      <c r="N11" s="44"/>
      <c r="O11" s="43"/>
      <c r="P11" s="44"/>
    </row>
    <row r="12" ht="13.65" customHeight="1">
      <c r="A12" t="s" s="42">
        <v>22</v>
      </c>
      <c r="B12" t="s" s="42">
        <v>29</v>
      </c>
      <c r="C12" s="43">
        <v>1262.1</v>
      </c>
      <c r="D12" s="44">
        <v>1251.5488</v>
      </c>
      <c r="E12" s="45">
        <v>-0.013213</v>
      </c>
      <c r="F12" s="44">
        <v>1263.3791</v>
      </c>
      <c r="G12" s="43">
        <v>55.01</v>
      </c>
      <c r="H12" s="44" cm="1">
        <f t="array" ref="H12">D12-D11</f>
        <v>10.3131</v>
      </c>
      <c r="I12" s="44" cm="1">
        <f t="array" ref="I12">MAX(H12,0)</f>
        <v>10.3131</v>
      </c>
      <c r="J12" s="44" cm="1">
        <f t="array" ref="J12">MAX(-H12,0)</f>
        <v>0</v>
      </c>
      <c r="K12" s="45"/>
      <c r="L12" s="45"/>
      <c r="M12" s="44"/>
      <c r="N12" s="44"/>
      <c r="O12" s="43"/>
      <c r="P12" s="44"/>
    </row>
    <row r="13" ht="13.65" customHeight="1">
      <c r="A13" t="s" s="42">
        <v>22</v>
      </c>
      <c r="B13" t="s" s="42">
        <v>73</v>
      </c>
      <c r="C13" s="43">
        <v>1250.2</v>
      </c>
      <c r="D13" s="44">
        <v>1239.7483</v>
      </c>
      <c r="E13" s="45">
        <v>-0.011543</v>
      </c>
      <c r="F13" s="44">
        <v>1263.4743</v>
      </c>
      <c r="G13" s="43">
        <v>49.75</v>
      </c>
      <c r="H13" s="44" cm="1">
        <f t="array" ref="H13">D13-D12</f>
        <v>-11.8005</v>
      </c>
      <c r="I13" s="44" cm="1">
        <f t="array" ref="I13">MAX(H13,0)</f>
        <v>0</v>
      </c>
      <c r="J13" s="44" cm="1">
        <f t="array" ref="J13">MAX(-H13,0)</f>
        <v>11.8005</v>
      </c>
      <c r="K13" s="45"/>
      <c r="L13" s="45"/>
      <c r="M13" s="44"/>
      <c r="N13" s="44"/>
      <c r="O13" s="43"/>
      <c r="P13" s="44"/>
    </row>
    <row r="14" ht="13.65" customHeight="1">
      <c r="A14" t="s" s="42">
        <v>22</v>
      </c>
      <c r="B14" t="s" s="42">
        <v>74</v>
      </c>
      <c r="C14" s="43">
        <v>1275</v>
      </c>
      <c r="D14" s="44">
        <v>1264.3409</v>
      </c>
      <c r="E14" s="45">
        <v>0.006791</v>
      </c>
      <c r="F14" s="44">
        <v>1264.5115</v>
      </c>
      <c r="G14" s="43">
        <v>58.75</v>
      </c>
      <c r="H14" s="44" cm="1">
        <f t="array" ref="H14">D14-D13</f>
        <v>24.5926</v>
      </c>
      <c r="I14" s="44" cm="1">
        <f t="array" ref="I14">MAX(H14,0)</f>
        <v>24.5926</v>
      </c>
      <c r="J14" s="44" cm="1">
        <f t="array" ref="J14">MAX(-H14,0)</f>
        <v>0</v>
      </c>
      <c r="K14" s="45"/>
      <c r="L14" s="45"/>
      <c r="M14" s="44"/>
      <c r="N14" s="44"/>
      <c r="O14" s="43"/>
      <c r="P14" s="44"/>
    </row>
    <row r="15" ht="13.65" customHeight="1">
      <c r="A15" t="s" s="42">
        <v>22</v>
      </c>
      <c r="B15" t="s" s="42">
        <v>75</v>
      </c>
      <c r="C15" s="43">
        <v>1293.3</v>
      </c>
      <c r="D15" s="44">
        <v>1282.488</v>
      </c>
      <c r="E15" s="45">
        <v>0.042731</v>
      </c>
      <c r="F15" s="44">
        <v>1265.3465</v>
      </c>
      <c r="G15" s="43">
        <v>63.32</v>
      </c>
      <c r="H15" s="44" cm="1">
        <f t="array" ref="H15">D15-D14</f>
        <v>18.1471</v>
      </c>
      <c r="I15" s="44" cm="1">
        <f t="array" ref="I15">MAX(H15,0)</f>
        <v>18.1471</v>
      </c>
      <c r="J15" s="44" cm="1">
        <f t="array" ref="J15">MAX(-H15,0)</f>
        <v>0</v>
      </c>
      <c r="K15" s="45"/>
      <c r="L15" s="45"/>
      <c r="M15" s="44"/>
      <c r="N15" s="44"/>
      <c r="O15" s="43"/>
      <c r="P15" s="44"/>
    </row>
    <row r="16" ht="13.65" customHeight="1">
      <c r="A16" t="s" s="42">
        <v>22</v>
      </c>
      <c r="B16" t="s" s="42">
        <v>76</v>
      </c>
      <c r="C16" s="43">
        <v>1317</v>
      </c>
      <c r="D16" s="44">
        <v>1305.9899</v>
      </c>
      <c r="E16" s="45">
        <v>0.06587899999999999</v>
      </c>
      <c r="F16" s="44">
        <v>1266.4829</v>
      </c>
      <c r="G16" s="43">
        <v>66.23999999999999</v>
      </c>
      <c r="H16" s="44" cm="1">
        <f t="array" ref="H16">D16-D15</f>
        <v>23.5019</v>
      </c>
      <c r="I16" s="44" cm="1">
        <f t="array" ref="I16">MAX(H16,0)</f>
        <v>23.5019</v>
      </c>
      <c r="J16" s="44" cm="1">
        <f t="array" ref="J16">MAX(-H16,0)</f>
        <v>0</v>
      </c>
      <c r="K16" s="45"/>
      <c r="L16" s="45"/>
      <c r="M16" s="44"/>
      <c r="N16" s="44"/>
      <c r="O16" s="43" cm="1">
        <f t="array" ref="O16">IF(AVERAGE(J3:J16)=0,100,100-100/(1+AVERAGE(I3:I16)/AVERAGE(J3:J16)))</f>
        <v>66.2434263305292</v>
      </c>
      <c r="P16" s="44" cm="1">
        <f t="array" ref="P16">O16-G16</f>
        <v>0.0034263305292</v>
      </c>
    </row>
    <row r="17" ht="13.65" customHeight="1">
      <c r="A17" t="s" s="42">
        <v>22</v>
      </c>
      <c r="B17" t="s" s="42">
        <v>77</v>
      </c>
      <c r="C17" s="43">
        <v>1340.8</v>
      </c>
      <c r="D17" s="44">
        <v>1329.5909</v>
      </c>
      <c r="E17" s="45">
        <v>0.076083</v>
      </c>
      <c r="F17" s="44">
        <v>1268.605</v>
      </c>
      <c r="G17" s="43">
        <v>66.58</v>
      </c>
      <c r="H17" s="44" cm="1">
        <f t="array" ref="H17">D17-D16</f>
        <v>23.601</v>
      </c>
      <c r="I17" s="44" cm="1">
        <f t="array" ref="I17">MAX(H17,0)</f>
        <v>23.601</v>
      </c>
      <c r="J17" s="44" cm="1">
        <f t="array" ref="J17">MAX(-H17,0)</f>
        <v>0</v>
      </c>
      <c r="K17" s="45"/>
      <c r="L17" s="45"/>
      <c r="M17" s="44"/>
      <c r="N17" s="44"/>
      <c r="O17" s="43" cm="1">
        <f t="array" ref="O17">IF(AVERAGE(J4:J17)=0,100,100-100/(1+AVERAGE(I4:I17)/AVERAGE(J4:J17)))</f>
        <v>66.5799571100234</v>
      </c>
      <c r="P17" s="44" cm="1">
        <f t="array" ref="P17">O17-G17</f>
        <v>-4.28899766e-05</v>
      </c>
    </row>
    <row r="18" ht="13.65" customHeight="1">
      <c r="A18" t="s" s="42">
        <v>22</v>
      </c>
      <c r="B18" t="s" s="42">
        <v>78</v>
      </c>
      <c r="C18" s="43">
        <v>1327.6</v>
      </c>
      <c r="D18" s="44">
        <v>1316.5012</v>
      </c>
      <c r="E18" s="45">
        <v>0.066774</v>
      </c>
      <c r="F18" s="44">
        <v>1271.0187</v>
      </c>
      <c r="G18" s="43">
        <v>58.27</v>
      </c>
      <c r="H18" s="44" cm="1">
        <f t="array" ref="H18">D18-D17</f>
        <v>-13.0897</v>
      </c>
      <c r="I18" s="44" cm="1">
        <f t="array" ref="I18">MAX(H18,0)</f>
        <v>0</v>
      </c>
      <c r="J18" s="44" cm="1">
        <f t="array" ref="J18">MAX(-H18,0)</f>
        <v>13.0897</v>
      </c>
      <c r="K18" s="45"/>
      <c r="L18" s="45"/>
      <c r="M18" s="44"/>
      <c r="N18" s="44"/>
      <c r="O18" s="43" cm="1">
        <f t="array" ref="O18">IF(AVERAGE(J5:J18)=0,100,100-100/(1+AVERAGE(I5:I18)/AVERAGE(J5:J18)))</f>
        <v>58.2716889338323</v>
      </c>
      <c r="P18" s="44" cm="1">
        <f t="array" ref="P18">O18-G18</f>
        <v>0.0016889338323</v>
      </c>
    </row>
    <row r="19" ht="13.65" customHeight="1">
      <c r="A19" t="s" s="42">
        <v>22</v>
      </c>
      <c r="B19" t="s" s="42">
        <v>79</v>
      </c>
      <c r="C19" s="43">
        <v>1334.3</v>
      </c>
      <c r="D19" s="44">
        <v>1323.1453</v>
      </c>
      <c r="E19" s="45">
        <v>0.06650200000000001</v>
      </c>
      <c r="F19" s="44">
        <v>1273.4303</v>
      </c>
      <c r="G19" s="43">
        <v>63.12</v>
      </c>
      <c r="H19" s="44" cm="1">
        <f t="array" ref="H19">D19-D18</f>
        <v>6.6441</v>
      </c>
      <c r="I19" s="44" cm="1">
        <f t="array" ref="I19">MAX(H19,0)</f>
        <v>6.6441</v>
      </c>
      <c r="J19" s="44" cm="1">
        <f t="array" ref="J19">MAX(-H19,0)</f>
        <v>0</v>
      </c>
      <c r="K19" s="45"/>
      <c r="L19" s="45"/>
      <c r="M19" s="44"/>
      <c r="N19" s="44"/>
      <c r="O19" s="43" cm="1">
        <f t="array" ref="O19">IF(AVERAGE(J6:J19)=0,100,100-100/(1+AVERAGE(I6:I19)/AVERAGE(J6:J19)))</f>
        <v>63.1179091751338</v>
      </c>
      <c r="P19" s="44" cm="1">
        <f t="array" ref="P19">O19-G19</f>
        <v>-0.0020908248662</v>
      </c>
    </row>
    <row r="20" ht="13.65" customHeight="1">
      <c r="A20" t="s" s="42">
        <v>22</v>
      </c>
      <c r="B20" t="s" s="42">
        <v>80</v>
      </c>
      <c r="C20" s="43">
        <v>1336.8</v>
      </c>
      <c r="D20" s="44">
        <v>1325.6244</v>
      </c>
      <c r="E20" s="45">
        <v>0.07736899999999999</v>
      </c>
      <c r="F20" s="44">
        <v>1275.8301</v>
      </c>
      <c r="G20" s="43">
        <v>65.52</v>
      </c>
      <c r="H20" s="44" cm="1">
        <f t="array" ref="H20">D20-D19</f>
        <v>2.4791</v>
      </c>
      <c r="I20" s="44" cm="1">
        <f t="array" ref="I20">MAX(H20,0)</f>
        <v>2.4791</v>
      </c>
      <c r="J20" s="44" cm="1">
        <f t="array" ref="J20">MAX(-H20,0)</f>
        <v>0</v>
      </c>
      <c r="K20" s="45"/>
      <c r="L20" s="45"/>
      <c r="M20" s="44"/>
      <c r="N20" s="44"/>
      <c r="O20" s="43" cm="1">
        <f t="array" ref="O20">IF(AVERAGE(J7:J20)=0,100,100-100/(1+AVERAGE(I7:I20)/AVERAGE(J7:J20)))</f>
        <v>65.5205890597332</v>
      </c>
      <c r="P20" s="44" cm="1">
        <f t="array" ref="P20">O20-G20</f>
        <v>0.0005890597332</v>
      </c>
    </row>
    <row r="21" ht="13.65" customHeight="1">
      <c r="A21" t="s" s="42">
        <v>22</v>
      </c>
      <c r="B21" t="s" s="42">
        <v>81</v>
      </c>
      <c r="C21" s="43">
        <v>1342.3</v>
      </c>
      <c r="D21" s="44">
        <v>1331.0784</v>
      </c>
      <c r="E21" s="45">
        <v>0.08486200000000001</v>
      </c>
      <c r="F21" s="44">
        <v>1278.0296</v>
      </c>
      <c r="G21" s="43">
        <v>71.95</v>
      </c>
      <c r="H21" s="44" cm="1">
        <f t="array" ref="H21">D21-D20</f>
        <v>5.454</v>
      </c>
      <c r="I21" s="44" cm="1">
        <f t="array" ref="I21">MAX(H21,0)</f>
        <v>5.454</v>
      </c>
      <c r="J21" s="44" cm="1">
        <f t="array" ref="J21">MAX(-H21,0)</f>
        <v>0</v>
      </c>
      <c r="K21" s="45"/>
      <c r="L21" s="45"/>
      <c r="M21" s="44"/>
      <c r="N21" s="44"/>
      <c r="O21" s="43" cm="1">
        <f t="array" ref="O21">IF(AVERAGE(J8:J21)=0,100,100-100/(1+AVERAGE(I8:I21)/AVERAGE(J8:J21)))</f>
        <v>71.9468464285769</v>
      </c>
      <c r="P21" s="44" cm="1">
        <f t="array" ref="P21">O21-G21</f>
        <v>-0.0031535714231</v>
      </c>
    </row>
    <row r="22" ht="13.65" customHeight="1">
      <c r="A22" t="s" s="42">
        <v>22</v>
      </c>
      <c r="B22" t="s" s="42">
        <v>82</v>
      </c>
      <c r="C22" s="43">
        <v>1346.5</v>
      </c>
      <c r="D22" s="44">
        <v>1335.2432</v>
      </c>
      <c r="E22" s="45">
        <v>0.083441</v>
      </c>
      <c r="F22" s="44">
        <v>1280.0327</v>
      </c>
      <c r="G22" s="43">
        <v>79.15000000000001</v>
      </c>
      <c r="H22" s="44" cm="1">
        <f t="array" ref="H22">D22-D21</f>
        <v>4.1648</v>
      </c>
      <c r="I22" s="44" cm="1">
        <f t="array" ref="I22">MAX(H22,0)</f>
        <v>4.1648</v>
      </c>
      <c r="J22" s="44" cm="1">
        <f t="array" ref="J22">MAX(-H22,0)</f>
        <v>0</v>
      </c>
      <c r="K22" s="45" cm="1">
        <f t="array" ref="K22">D22/D2-1</f>
        <v>0.0834405622413706</v>
      </c>
      <c r="L22" s="45" cm="1">
        <f t="array" ref="L22">K22-E22</f>
        <v>-4.377586294e-07</v>
      </c>
      <c r="M22" s="44"/>
      <c r="N22" s="44"/>
      <c r="O22" s="43" cm="1">
        <f t="array" ref="O22">IF(AVERAGE(J9:J22)=0,100,100-100/(1+AVERAGE(I9:I22)/AVERAGE(J9:J22)))</f>
        <v>79.1484489606068</v>
      </c>
      <c r="P22" s="44" cm="1">
        <f t="array" ref="P22">O22-G22</f>
        <v>-0.0015510393932</v>
      </c>
    </row>
    <row r="23" ht="13.65" customHeight="1">
      <c r="A23" t="s" s="42">
        <v>22</v>
      </c>
      <c r="B23" t="s" s="42">
        <v>83</v>
      </c>
      <c r="C23" s="43">
        <v>1352.4</v>
      </c>
      <c r="D23" s="44">
        <v>1341.0939</v>
      </c>
      <c r="E23" s="45">
        <v>0.06968299999999999</v>
      </c>
      <c r="F23" s="44">
        <v>1280.8895</v>
      </c>
      <c r="G23" s="43">
        <v>85.73999999999999</v>
      </c>
      <c r="H23" s="44" cm="1">
        <f t="array" ref="H23">D23-D22</f>
        <v>5.8507</v>
      </c>
      <c r="I23" s="44" cm="1">
        <f t="array" ref="I23">MAX(H23,0)</f>
        <v>5.8507</v>
      </c>
      <c r="J23" s="44" cm="1">
        <f t="array" ref="J23">MAX(-H23,0)</f>
        <v>0</v>
      </c>
      <c r="K23" s="45" cm="1">
        <f t="array" ref="K23">D23/D3-1</f>
        <v>0.06968275877471269</v>
      </c>
      <c r="L23" s="45" cm="1">
        <f t="array" ref="L23">K23-E23</f>
        <v>-2.412252873e-07</v>
      </c>
      <c r="M23" s="44"/>
      <c r="N23" s="44"/>
      <c r="O23" s="43" cm="1">
        <f t="array" ref="O23">IF(AVERAGE(J10:J23)=0,100,100-100/(1+AVERAGE(I10:I23)/AVERAGE(J10:J23)))</f>
        <v>85.7386206394708</v>
      </c>
      <c r="P23" s="44" cm="1">
        <f t="array" ref="P23">O23-G23</f>
        <v>-0.0013793605292</v>
      </c>
    </row>
    <row r="24" ht="13.65" customHeight="1">
      <c r="A24" t="s" s="42">
        <v>22</v>
      </c>
      <c r="B24" t="s" s="42">
        <v>84</v>
      </c>
      <c r="C24" s="43">
        <v>1338.3</v>
      </c>
      <c r="D24" s="44">
        <v>1327.1118</v>
      </c>
      <c r="E24" s="45">
        <v>0.035996</v>
      </c>
      <c r="F24" s="44">
        <v>1282.0199</v>
      </c>
      <c r="G24" s="43">
        <v>77.56</v>
      </c>
      <c r="H24" s="44" cm="1">
        <f t="array" ref="H24">D24-D23</f>
        <v>-13.9821</v>
      </c>
      <c r="I24" s="44" cm="1">
        <f t="array" ref="I24">MAX(H24,0)</f>
        <v>0</v>
      </c>
      <c r="J24" s="44" cm="1">
        <f t="array" ref="J24">MAX(-H24,0)</f>
        <v>13.9821</v>
      </c>
      <c r="K24" s="45" cm="1">
        <f t="array" ref="K24">D24/D4-1</f>
        <v>0.0359962360673367</v>
      </c>
      <c r="L24" s="45" cm="1">
        <f t="array" ref="L24">K24-E24</f>
        <v>2.360673367e-07</v>
      </c>
      <c r="M24" s="44"/>
      <c r="N24" s="44"/>
      <c r="O24" s="43" cm="1">
        <f t="array" ref="O24">IF(AVERAGE(J11:J24)=0,100,100-100/(1+AVERAGE(I11:I24)/AVERAGE(J11:J24)))</f>
        <v>77.56153904765419</v>
      </c>
      <c r="P24" s="44" cm="1">
        <f t="array" ref="P24">O24-G24</f>
        <v>0.0015390476542</v>
      </c>
    </row>
    <row r="25" ht="13.65" customHeight="1">
      <c r="A25" t="s" s="42">
        <v>22</v>
      </c>
      <c r="B25" t="s" s="42">
        <v>85</v>
      </c>
      <c r="C25" s="43">
        <v>1373.6</v>
      </c>
      <c r="D25" s="44">
        <v>1362.1167</v>
      </c>
      <c r="E25" s="45">
        <v>0.07388</v>
      </c>
      <c r="F25" s="44">
        <v>1283.0453</v>
      </c>
      <c r="G25" s="43">
        <v>80.43000000000001</v>
      </c>
      <c r="H25" s="44" cm="1">
        <f t="array" ref="H25">D25-D24</f>
        <v>35.0049</v>
      </c>
      <c r="I25" s="44" cm="1">
        <f t="array" ref="I25">MAX(H25,0)</f>
        <v>35.0049</v>
      </c>
      <c r="J25" s="44" cm="1">
        <f t="array" ref="J25">MAX(-H25,0)</f>
        <v>0</v>
      </c>
      <c r="K25" s="45" cm="1">
        <f t="array" ref="K25">D25/D5-1</f>
        <v>0.0738801737550088</v>
      </c>
      <c r="L25" s="45" cm="1">
        <f t="array" ref="L25">K25-E25</f>
        <v>1.737550088e-07</v>
      </c>
      <c r="M25" s="44"/>
      <c r="N25" s="44"/>
      <c r="O25" s="43" cm="1">
        <f t="array" ref="O25">IF(AVERAGE(J12:J25)=0,100,100-100/(1+AVERAGE(I12:I25)/AVERAGE(J12:J25)))</f>
        <v>80.4293605658082</v>
      </c>
      <c r="P25" s="44" cm="1">
        <f t="array" ref="P25">O25-G25</f>
        <v>-0.0006394341918</v>
      </c>
    </row>
    <row r="26" ht="13.65" customHeight="1">
      <c r="A26" t="s" s="42">
        <v>22</v>
      </c>
      <c r="B26" t="s" s="42">
        <v>86</v>
      </c>
      <c r="C26" s="43">
        <v>1387.5</v>
      </c>
      <c r="D26" s="44">
        <v>1375.9005</v>
      </c>
      <c r="E26" s="45">
        <v>0.090202</v>
      </c>
      <c r="F26" s="44">
        <v>1283.7672</v>
      </c>
      <c r="G26" s="43">
        <v>80.77</v>
      </c>
      <c r="H26" s="44" cm="1">
        <f t="array" ref="H26">D26-D25</f>
        <v>13.7838</v>
      </c>
      <c r="I26" s="44" cm="1">
        <f t="array" ref="I26">MAX(H26,0)</f>
        <v>13.7838</v>
      </c>
      <c r="J26" s="44" cm="1">
        <f t="array" ref="J26">MAX(-H26,0)</f>
        <v>0</v>
      </c>
      <c r="K26" s="45" cm="1">
        <f t="array" ref="K26">D26/D6-1</f>
        <v>0.0902019570857238</v>
      </c>
      <c r="L26" s="45" cm="1">
        <f t="array" ref="L26">K26-E26</f>
        <v>-4.29142762e-08</v>
      </c>
      <c r="M26" s="44"/>
      <c r="N26" s="44"/>
      <c r="O26" s="43" cm="1">
        <f t="array" ref="O26">IF(AVERAGE(J13:J26)=0,100,100-100/(1+AVERAGE(I13:I26)/AVERAGE(J13:J26)))</f>
        <v>80.7654568638812</v>
      </c>
      <c r="P26" s="44" cm="1">
        <f t="array" ref="P26">O26-G26</f>
        <v>-0.0045431361188</v>
      </c>
    </row>
    <row r="27" ht="13.65" customHeight="1">
      <c r="A27" t="s" s="42">
        <v>22</v>
      </c>
      <c r="B27" t="s" s="42">
        <v>87</v>
      </c>
      <c r="C27" s="43">
        <v>1387.6</v>
      </c>
      <c r="D27" s="44">
        <v>1375.9996</v>
      </c>
      <c r="E27" s="45">
        <v>0.104425</v>
      </c>
      <c r="F27" s="44">
        <v>1284.5506</v>
      </c>
      <c r="G27" s="43">
        <v>85.78</v>
      </c>
      <c r="H27" s="44" cm="1">
        <f t="array" ref="H27">D27-D26</f>
        <v>0.09909999999999999</v>
      </c>
      <c r="I27" s="44" cm="1">
        <f t="array" ref="I27">MAX(H27,0)</f>
        <v>0.09909999999999999</v>
      </c>
      <c r="J27" s="44" cm="1">
        <f t="array" ref="J27">MAX(-H27,0)</f>
        <v>0</v>
      </c>
      <c r="K27" s="45" cm="1">
        <f t="array" ref="K27">D27/D7-1</f>
        <v>0.104425287333258</v>
      </c>
      <c r="L27" s="45" cm="1">
        <f t="array" ref="L27">K27-E27</f>
        <v>2.87333258e-07</v>
      </c>
      <c r="M27" s="44"/>
      <c r="N27" s="44"/>
      <c r="O27" s="43" cm="1">
        <f t="array" ref="O27">IF(AVERAGE(J14:J27)=0,100,100-100/(1+AVERAGE(I14:I27)/AVERAGE(J14:J27)))</f>
        <v>85.7812367873299</v>
      </c>
      <c r="P27" s="44" cm="1">
        <f t="array" ref="P27">O27-G27</f>
        <v>0.0012367873299</v>
      </c>
    </row>
    <row r="28" ht="13.65" customHeight="1">
      <c r="A28" t="s" s="42">
        <v>22</v>
      </c>
      <c r="B28" t="s" s="42">
        <v>88</v>
      </c>
      <c r="C28" s="43">
        <v>1375.2</v>
      </c>
      <c r="D28" s="44">
        <v>1363.7032</v>
      </c>
      <c r="E28" s="45">
        <v>0.109301</v>
      </c>
      <c r="F28" s="44">
        <v>1285.1396</v>
      </c>
      <c r="G28" s="43">
        <v>77.90000000000001</v>
      </c>
      <c r="H28" s="44" cm="1">
        <f t="array" ref="H28">D28-D27</f>
        <v>-12.2964</v>
      </c>
      <c r="I28" s="44" cm="1">
        <f t="array" ref="I28">MAX(H28,0)</f>
        <v>0</v>
      </c>
      <c r="J28" s="44" cm="1">
        <f t="array" ref="J28">MAX(-H28,0)</f>
        <v>12.2964</v>
      </c>
      <c r="K28" s="45" cm="1">
        <f t="array" ref="K28">D28/D8-1</f>
        <v>0.109300540348567</v>
      </c>
      <c r="L28" s="45" cm="1">
        <f t="array" ref="L28">K28-E28</f>
        <v>-4.59651433e-07</v>
      </c>
      <c r="M28" s="44"/>
      <c r="N28" s="44"/>
      <c r="O28" s="43" cm="1">
        <f t="array" ref="O28">IF(AVERAGE(J15:J28)=0,100,100-100/(1+AVERAGE(I15:I28)/AVERAGE(J15:J28)))</f>
        <v>77.8952906450187</v>
      </c>
      <c r="P28" s="44" cm="1">
        <f t="array" ref="P28">O28-G28</f>
        <v>-0.0047093549813</v>
      </c>
    </row>
    <row r="29" ht="13.65" customHeight="1">
      <c r="A29" t="s" s="42">
        <v>22</v>
      </c>
      <c r="B29" t="s" s="42">
        <v>89</v>
      </c>
      <c r="C29" s="43">
        <v>1379.8</v>
      </c>
      <c r="D29" s="44">
        <v>1368.2649</v>
      </c>
      <c r="E29" s="45">
        <v>0.124898</v>
      </c>
      <c r="F29" s="44">
        <v>1285.7941</v>
      </c>
      <c r="G29" s="43">
        <v>76.06999999999999</v>
      </c>
      <c r="H29" s="44" cm="1">
        <f t="array" ref="H29">D29-D28</f>
        <v>4.5617</v>
      </c>
      <c r="I29" s="44" cm="1">
        <f t="array" ref="I29">MAX(H29,0)</f>
        <v>4.5617</v>
      </c>
      <c r="J29" s="44" cm="1">
        <f t="array" ref="J29">MAX(-H29,0)</f>
        <v>0</v>
      </c>
      <c r="K29" s="45" cm="1">
        <f t="array" ref="K29">D29/D9-1</f>
        <v>0.124898137503025</v>
      </c>
      <c r="L29" s="45" cm="1">
        <f t="array" ref="L29">K29-E29</f>
        <v>1.37503025e-07</v>
      </c>
      <c r="M29" s="44"/>
      <c r="N29" s="44"/>
      <c r="O29" s="43" cm="1">
        <f t="array" ref="O29">IF(AVERAGE(J16:J29)=0,100,100-100/(1+AVERAGE(I16:I29)/AVERAGE(J16:J29)))</f>
        <v>76.06989830001589</v>
      </c>
      <c r="P29" s="44" cm="1">
        <f t="array" ref="P29">O29-G29</f>
        <v>-0.0001016999841</v>
      </c>
    </row>
    <row r="30" ht="13.65" customHeight="1">
      <c r="A30" t="s" s="42">
        <v>22</v>
      </c>
      <c r="B30" t="s" s="42">
        <v>90</v>
      </c>
      <c r="C30" s="43">
        <v>1400</v>
      </c>
      <c r="D30" s="44">
        <v>1388.296</v>
      </c>
      <c r="E30" s="45">
        <v>0.127214</v>
      </c>
      <c r="F30" s="44">
        <v>1286.6628</v>
      </c>
      <c r="G30" s="43">
        <v>75.55</v>
      </c>
      <c r="H30" s="44" cm="1">
        <f t="array" ref="H30">D30-D29</f>
        <v>20.0311</v>
      </c>
      <c r="I30" s="44" cm="1">
        <f t="array" ref="I30">MAX(H30,0)</f>
        <v>20.0311</v>
      </c>
      <c r="J30" s="44" cm="1">
        <f t="array" ref="J30">MAX(-H30,0)</f>
        <v>0</v>
      </c>
      <c r="K30" s="45" cm="1">
        <f t="array" ref="K30">D30/D10-1</f>
        <v>0.127214243910931</v>
      </c>
      <c r="L30" s="45" cm="1">
        <f t="array" ref="L30">K30-E30</f>
        <v>2.43910931e-07</v>
      </c>
      <c r="M30" s="44"/>
      <c r="N30" s="44"/>
      <c r="O30" s="43" cm="1">
        <f t="array" ref="O30">IF(AVERAGE(J17:J30)=0,100,100-100/(1+AVERAGE(I17:I30)/AVERAGE(J17:J30)))</f>
        <v>75.5541549590946</v>
      </c>
      <c r="P30" s="44" cm="1">
        <f t="array" ref="P30">O30-G30</f>
        <v>0.0041549590946</v>
      </c>
    </row>
    <row r="31" ht="13.65" customHeight="1">
      <c r="A31" t="s" s="42">
        <v>22</v>
      </c>
      <c r="B31" t="s" s="42">
        <v>91</v>
      </c>
      <c r="C31" s="43">
        <v>1411.4</v>
      </c>
      <c r="D31" s="44">
        <v>1399.6007</v>
      </c>
      <c r="E31" s="45">
        <v>0.127587</v>
      </c>
      <c r="F31" s="44">
        <v>1287.1189</v>
      </c>
      <c r="G31" s="43">
        <v>73.53</v>
      </c>
      <c r="H31" s="44" cm="1">
        <f t="array" ref="H31">D31-D30</f>
        <v>11.3047</v>
      </c>
      <c r="I31" s="44" cm="1">
        <f t="array" ref="I31">MAX(H31,0)</f>
        <v>11.3047</v>
      </c>
      <c r="J31" s="44" cm="1">
        <f t="array" ref="J31">MAX(-H31,0)</f>
        <v>0</v>
      </c>
      <c r="K31" s="45" cm="1">
        <f t="array" ref="K31">D31/D11-1</f>
        <v>0.127586565549154</v>
      </c>
      <c r="L31" s="45" cm="1">
        <f t="array" ref="L31">K31-E31</f>
        <v>-4.34450846e-07</v>
      </c>
      <c r="M31" s="44"/>
      <c r="N31" s="44"/>
      <c r="O31" s="43" cm="1">
        <f t="array" ref="O31">IF(AVERAGE(J18:J31)=0,100,100-100/(1+AVERAGE(I18:I31)/AVERAGE(J18:J31)))</f>
        <v>73.53330706935709</v>
      </c>
      <c r="P31" s="44" cm="1">
        <f t="array" ref="P31">O31-G31</f>
        <v>0.0033070693571</v>
      </c>
    </row>
    <row r="32" ht="13.65" customHeight="1">
      <c r="A32" t="s" s="42">
        <v>22</v>
      </c>
      <c r="B32" t="s" s="42">
        <v>92</v>
      </c>
      <c r="C32" s="43">
        <v>1426.9</v>
      </c>
      <c r="D32" s="44">
        <v>1414.9711</v>
      </c>
      <c r="E32" s="45">
        <v>0.130576</v>
      </c>
      <c r="F32" s="44">
        <v>1288.295</v>
      </c>
      <c r="G32" s="43">
        <v>82.59999999999999</v>
      </c>
      <c r="H32" s="44" cm="1">
        <f t="array" ref="H32">D32-D31</f>
        <v>15.3704</v>
      </c>
      <c r="I32" s="44" cm="1">
        <f t="array" ref="I32">MAX(H32,0)</f>
        <v>15.3704</v>
      </c>
      <c r="J32" s="44" cm="1">
        <f t="array" ref="J32">MAX(-H32,0)</f>
        <v>0</v>
      </c>
      <c r="K32" s="45" cm="1">
        <f t="array" ref="K32">D32/D12-1</f>
        <v>0.130576051049707</v>
      </c>
      <c r="L32" s="45" cm="1">
        <f t="array" ref="L32">K32-E32</f>
        <v>0.000000051050</v>
      </c>
      <c r="M32" s="44"/>
      <c r="N32" s="44"/>
      <c r="O32" s="43" cm="1">
        <f t="array" ref="O32">IF(AVERAGE(J19:J32)=0,100,100-100/(1+AVERAGE(I19:I32)/AVERAGE(J19:J32)))</f>
        <v>82.60011958134611</v>
      </c>
      <c r="P32" s="44" cm="1">
        <f t="array" ref="P32">O32-G32</f>
        <v>0.0001195813461</v>
      </c>
    </row>
    <row r="33" ht="13.65" customHeight="1">
      <c r="A33" t="s" s="42">
        <v>22</v>
      </c>
      <c r="B33" t="s" s="42">
        <v>93</v>
      </c>
      <c r="C33" s="43">
        <v>1414.7</v>
      </c>
      <c r="D33" s="44">
        <v>1402.873</v>
      </c>
      <c r="E33" s="45">
        <v>0.131579</v>
      </c>
      <c r="F33" s="44">
        <v>1289.6179</v>
      </c>
      <c r="G33" s="43">
        <v>75.48</v>
      </c>
      <c r="H33" s="44" cm="1">
        <f t="array" ref="H33">D33-D32</f>
        <v>-12.0981</v>
      </c>
      <c r="I33" s="44" cm="1">
        <f t="array" ref="I33">MAX(H33,0)</f>
        <v>0</v>
      </c>
      <c r="J33" s="44" cm="1">
        <f t="array" ref="J33">MAX(-H33,0)</f>
        <v>12.0981</v>
      </c>
      <c r="K33" s="45" cm="1">
        <f t="array" ref="K33">D33/D13-1</f>
        <v>0.131578885810934</v>
      </c>
      <c r="L33" s="45" cm="1">
        <f t="array" ref="L33">K33-E33</f>
        <v>-1.14189066e-07</v>
      </c>
      <c r="M33" s="44"/>
      <c r="N33" s="44"/>
      <c r="O33" s="43" cm="1">
        <f t="array" ref="O33">IF(AVERAGE(J20:J33)=0,100,100-100/(1+AVERAGE(I20:I33)/AVERAGE(J20:J33)))</f>
        <v>75.4752177422292</v>
      </c>
      <c r="P33" s="44" cm="1">
        <f t="array" ref="P33">O33-G33</f>
        <v>-0.0047822577708</v>
      </c>
    </row>
    <row r="34" ht="13.65" customHeight="1">
      <c r="A34" t="s" s="42">
        <v>22</v>
      </c>
      <c r="B34" t="s" s="42">
        <v>94</v>
      </c>
      <c r="C34" s="43">
        <v>1380.6</v>
      </c>
      <c r="D34" s="44">
        <v>1369.0581</v>
      </c>
      <c r="E34" s="45">
        <v>0.08282399999999999</v>
      </c>
      <c r="F34" s="44">
        <v>1290.6968</v>
      </c>
      <c r="G34" s="43">
        <v>61.56</v>
      </c>
      <c r="H34" s="44" cm="1">
        <f t="array" ref="H34">D34-D33</f>
        <v>-33.8149</v>
      </c>
      <c r="I34" s="44" cm="1">
        <f t="array" ref="I34">MAX(H34,0)</f>
        <v>0</v>
      </c>
      <c r="J34" s="44" cm="1">
        <f t="array" ref="J34">MAX(-H34,0)</f>
        <v>33.8149</v>
      </c>
      <c r="K34" s="45" cm="1">
        <f t="array" ref="K34">D34/D14-1</f>
        <v>0.0828235486173072</v>
      </c>
      <c r="L34" s="45" cm="1">
        <f t="array" ref="L34">K34-E34</f>
        <v>-4.513826928e-07</v>
      </c>
      <c r="M34" s="44"/>
      <c r="N34" s="44"/>
      <c r="O34" s="43" cm="1">
        <f t="array" ref="O34">IF(AVERAGE(J21:J34)=0,100,100-100/(1+AVERAGE(I21:I34)/AVERAGE(J21:J34)))</f>
        <v>61.5627896773823</v>
      </c>
      <c r="P34" s="44" cm="1">
        <f t="array" ref="P34">O34-G34</f>
        <v>0.0027896773823</v>
      </c>
    </row>
    <row r="35" ht="13.65" customHeight="1">
      <c r="A35" t="s" s="42">
        <v>22</v>
      </c>
      <c r="B35" t="s" s="42">
        <v>95</v>
      </c>
      <c r="C35" s="43">
        <v>1380.7</v>
      </c>
      <c r="D35" s="44">
        <v>1369.1572</v>
      </c>
      <c r="E35" s="45">
        <v>0.067579</v>
      </c>
      <c r="F35" s="44">
        <v>1292.0176</v>
      </c>
      <c r="G35" s="43">
        <v>60.43</v>
      </c>
      <c r="H35" s="44" cm="1">
        <f t="array" ref="H35">D35-D34</f>
        <v>0.09909999999999999</v>
      </c>
      <c r="I35" s="44" cm="1">
        <f t="array" ref="I35">MAX(H35,0)</f>
        <v>0.09909999999999999</v>
      </c>
      <c r="J35" s="44" cm="1">
        <f t="array" ref="J35">MAX(-H35,0)</f>
        <v>0</v>
      </c>
      <c r="K35" s="45" cm="1">
        <f t="array" ref="K35">D35/D15-1</f>
        <v>0.0675789559044607</v>
      </c>
      <c r="L35" s="45" cm="1">
        <f t="array" ref="L35">K35-E35</f>
        <v>-4.40955393e-08</v>
      </c>
      <c r="M35" s="44"/>
      <c r="N35" s="44"/>
      <c r="O35" s="43" cm="1">
        <f t="array" ref="O35">IF(AVERAGE(J22:J35)=0,100,100-100/(1+AVERAGE(I22:I35)/AVERAGE(J22:J35)))</f>
        <v>60.434732091868</v>
      </c>
      <c r="P35" s="44" cm="1">
        <f t="array" ref="P35">O35-G35</f>
        <v>0.004732091868</v>
      </c>
    </row>
    <row r="36" ht="13.65" customHeight="1">
      <c r="A36" t="s" s="42">
        <v>22</v>
      </c>
      <c r="B36" t="s" s="42">
        <v>96</v>
      </c>
      <c r="C36" s="43">
        <v>1401.2</v>
      </c>
      <c r="D36" s="44">
        <v>1389.4858</v>
      </c>
      <c r="E36" s="45">
        <v>0.063933</v>
      </c>
      <c r="F36" s="44">
        <v>1294.1834</v>
      </c>
      <c r="G36" s="43">
        <v>63.65</v>
      </c>
      <c r="H36" s="44" cm="1">
        <f t="array" ref="H36">D36-D35</f>
        <v>20.3286</v>
      </c>
      <c r="I36" s="44" cm="1">
        <f t="array" ref="I36">MAX(H36,0)</f>
        <v>20.3286</v>
      </c>
      <c r="J36" s="44" cm="1">
        <f t="array" ref="J36">MAX(-H36,0)</f>
        <v>0</v>
      </c>
      <c r="K36" s="45" cm="1">
        <f t="array" ref="K36">D36/D16-1</f>
        <v>0.0639330365418599</v>
      </c>
      <c r="L36" s="45" cm="1">
        <f t="array" ref="L36">K36-E36</f>
        <v>3.65418599e-08</v>
      </c>
      <c r="M36" s="44"/>
      <c r="N36" s="44"/>
      <c r="O36" s="43" cm="1">
        <f t="array" ref="O36">IF(AVERAGE(J23:J36)=0,100,100-100/(1+AVERAGE(I23:I36)/AVERAGE(J23:J36)))</f>
        <v>63.6544836113774</v>
      </c>
      <c r="P36" s="44" cm="1">
        <f t="array" ref="P36">O36-G36</f>
        <v>0.0044836113774</v>
      </c>
    </row>
    <row r="37" ht="13.65" customHeight="1">
      <c r="A37" t="s" s="42">
        <v>22</v>
      </c>
      <c r="B37" t="s" s="42">
        <v>97</v>
      </c>
      <c r="C37" s="43">
        <v>1409.5</v>
      </c>
      <c r="D37" s="44">
        <v>1397.7166</v>
      </c>
      <c r="E37" s="45">
        <v>0.051238</v>
      </c>
      <c r="F37" s="44">
        <v>1296.7319</v>
      </c>
      <c r="G37" s="43">
        <v>64.08</v>
      </c>
      <c r="H37" s="44" cm="1">
        <f t="array" ref="H37">D37-D36</f>
        <v>8.2308</v>
      </c>
      <c r="I37" s="44" cm="1">
        <f t="array" ref="I37">MAX(H37,0)</f>
        <v>8.2308</v>
      </c>
      <c r="J37" s="44" cm="1">
        <f t="array" ref="J37">MAX(-H37,0)</f>
        <v>0</v>
      </c>
      <c r="K37" s="45" cm="1">
        <f t="array" ref="K37">D37/D17-1</f>
        <v>0.0512380913557697</v>
      </c>
      <c r="L37" s="45" cm="1">
        <f t="array" ref="L37">K37-E37</f>
        <v>9.13557697e-08</v>
      </c>
      <c r="M37" s="44"/>
      <c r="N37" s="44"/>
      <c r="O37" s="43" cm="1">
        <f t="array" ref="O37">IF(AVERAGE(J24:J37)=0,100,100-100/(1+AVERAGE(I24:I37)/AVERAGE(J24:J37)))</f>
        <v>64.08484933511841</v>
      </c>
      <c r="P37" s="44" cm="1">
        <f t="array" ref="P37">O37-G37</f>
        <v>0.0048493351184</v>
      </c>
    </row>
    <row r="38" ht="13.65" customHeight="1">
      <c r="A38" t="s" s="42">
        <v>22</v>
      </c>
      <c r="B38" t="s" s="42">
        <v>98</v>
      </c>
      <c r="C38" s="43">
        <v>1407.7</v>
      </c>
      <c r="D38" s="44">
        <v>1395.9315</v>
      </c>
      <c r="E38" s="45">
        <v>0.060334</v>
      </c>
      <c r="F38" s="44">
        <v>1299.5938</v>
      </c>
      <c r="G38" s="43">
        <v>68.22</v>
      </c>
      <c r="H38" s="44" cm="1">
        <f t="array" ref="H38">D38-D37</f>
        <v>-1.7851</v>
      </c>
      <c r="I38" s="44" cm="1">
        <f t="array" ref="I38">MAX(H38,0)</f>
        <v>0</v>
      </c>
      <c r="J38" s="44" cm="1">
        <f t="array" ref="J38">MAX(-H38,0)</f>
        <v>1.7851</v>
      </c>
      <c r="K38" s="45" cm="1">
        <f t="array" ref="K38">D38/D18-1</f>
        <v>0.0603343924031364</v>
      </c>
      <c r="L38" s="45" cm="1">
        <f t="array" ref="L38">K38-E38</f>
        <v>3.924031364e-07</v>
      </c>
      <c r="M38" s="44"/>
      <c r="N38" s="44"/>
      <c r="O38" s="43" cm="1">
        <f t="array" ref="O38">IF(AVERAGE(J25:J38)=0,100,100-100/(1+AVERAGE(I25:I38)/AVERAGE(J25:J38)))</f>
        <v>68.2247163398721</v>
      </c>
      <c r="P38" s="44" cm="1">
        <f t="array" ref="P38">O38-G38</f>
        <v>0.0047163398721</v>
      </c>
    </row>
    <row r="39" ht="13.65" customHeight="1">
      <c r="A39" t="s" s="42">
        <v>22</v>
      </c>
      <c r="B39" t="s" s="42">
        <v>99</v>
      </c>
      <c r="C39" s="43">
        <v>1416.2</v>
      </c>
      <c r="D39" s="44">
        <v>1404.3605</v>
      </c>
      <c r="E39" s="45">
        <v>0.06138</v>
      </c>
      <c r="F39" s="44">
        <v>1302.4775</v>
      </c>
      <c r="G39" s="43">
        <v>63.02</v>
      </c>
      <c r="H39" s="44" cm="1">
        <f t="array" ref="H39">D39-D38</f>
        <v>8.429</v>
      </c>
      <c r="I39" s="44" cm="1">
        <f t="array" ref="I39">MAX(H39,0)</f>
        <v>8.429</v>
      </c>
      <c r="J39" s="44" cm="1">
        <f t="array" ref="J39">MAX(-H39,0)</f>
        <v>0</v>
      </c>
      <c r="K39" s="45" cm="1">
        <f t="array" ref="K39">D39/D19-1</f>
        <v>0.0613804092415247</v>
      </c>
      <c r="L39" s="45" cm="1">
        <f t="array" ref="L39">K39-E39</f>
        <v>4.092415247e-07</v>
      </c>
      <c r="M39" s="44"/>
      <c r="N39" s="44"/>
      <c r="O39" s="43" cm="1">
        <f t="array" ref="O39">IF(AVERAGE(J26:J39)=0,100,100-100/(1+AVERAGE(I26:I39)/AVERAGE(J26:J39)))</f>
        <v>63.0195003723045</v>
      </c>
      <c r="P39" s="44" cm="1">
        <f t="array" ref="P39">O39-G39</f>
        <v>-0.0004996276955</v>
      </c>
    </row>
    <row r="40" ht="13.65" customHeight="1">
      <c r="A40" t="s" s="42">
        <v>22</v>
      </c>
      <c r="B40" t="s" s="42">
        <v>100</v>
      </c>
      <c r="C40" s="43">
        <v>1418.2</v>
      </c>
      <c r="D40" s="44">
        <v>1406.3438</v>
      </c>
      <c r="E40" s="45">
        <v>0.060892</v>
      </c>
      <c r="F40" s="44">
        <v>1305.7876</v>
      </c>
      <c r="G40" s="43">
        <v>60.12</v>
      </c>
      <c r="H40" s="44" cm="1">
        <f t="array" ref="H40">D40-D39</f>
        <v>1.9833</v>
      </c>
      <c r="I40" s="44" cm="1">
        <f t="array" ref="I40">MAX(H40,0)</f>
        <v>1.9833</v>
      </c>
      <c r="J40" s="44" cm="1">
        <f t="array" ref="J40">MAX(-H40,0)</f>
        <v>0</v>
      </c>
      <c r="K40" s="45" cm="1">
        <f t="array" ref="K40">D40/D20-1</f>
        <v>0.0608916070042163</v>
      </c>
      <c r="L40" s="45" cm="1">
        <f t="array" ref="L40">K40-E40</f>
        <v>-3.929957837e-07</v>
      </c>
      <c r="M40" s="44"/>
      <c r="N40" s="44"/>
      <c r="O40" s="43" cm="1">
        <f t="array" ref="O40">IF(AVERAGE(J27:J40)=0,100,100-100/(1+AVERAGE(I27:I40)/AVERAGE(J27:J40)))</f>
        <v>60.1186048474962</v>
      </c>
      <c r="P40" s="44" cm="1">
        <f t="array" ref="P40">O40-G40</f>
        <v>-0.0013951525038</v>
      </c>
    </row>
    <row r="41" ht="13.65" customHeight="1">
      <c r="A41" t="s" s="42">
        <v>22</v>
      </c>
      <c r="B41" t="s" s="42">
        <v>101</v>
      </c>
      <c r="C41" s="43">
        <v>1444.3</v>
      </c>
      <c r="D41" s="44">
        <v>1432.2257</v>
      </c>
      <c r="E41" s="45">
        <v>0.075989</v>
      </c>
      <c r="F41" s="44">
        <v>1309.056</v>
      </c>
      <c r="G41" s="43">
        <v>65.95</v>
      </c>
      <c r="H41" s="44" cm="1">
        <f t="array" ref="H41">D41-D40</f>
        <v>25.8819</v>
      </c>
      <c r="I41" s="44" cm="1">
        <f t="array" ref="I41">MAX(H41,0)</f>
        <v>25.8819</v>
      </c>
      <c r="J41" s="44" cm="1">
        <f t="array" ref="J41">MAX(-H41,0)</f>
        <v>0</v>
      </c>
      <c r="K41" s="45" cm="1">
        <f t="array" ref="K41">D41/D21-1</f>
        <v>0.0759889875757882</v>
      </c>
      <c r="L41" s="45" cm="1">
        <f t="array" ref="L41">K41-E41</f>
        <v>-1.24242118e-08</v>
      </c>
      <c r="M41" s="44"/>
      <c r="N41" s="44"/>
      <c r="O41" s="43" cm="1">
        <f t="array" ref="O41">IF(AVERAGE(J28:J41)=0,100,100-100/(1+AVERAGE(I28:I41)/AVERAGE(J28:J41)))</f>
        <v>65.95382575046069</v>
      </c>
      <c r="P41" s="44" cm="1">
        <f t="array" ref="P41">O41-G41</f>
        <v>0.0038257504607</v>
      </c>
    </row>
    <row r="42" ht="13.65" customHeight="1">
      <c r="A42" t="s" s="42">
        <v>22</v>
      </c>
      <c r="B42" t="s" s="42">
        <v>102</v>
      </c>
      <c r="C42" s="43">
        <v>1460.2</v>
      </c>
      <c r="D42" s="44">
        <v>1447.9927</v>
      </c>
      <c r="E42" s="45">
        <v>0.084441</v>
      </c>
      <c r="F42" s="44">
        <v>1312.6497</v>
      </c>
      <c r="G42" s="43">
        <v>73.45</v>
      </c>
      <c r="H42" s="44" cm="1">
        <f t="array" ref="H42">D42-D41</f>
        <v>15.767</v>
      </c>
      <c r="I42" s="44" cm="1">
        <f t="array" ref="I42">MAX(H42,0)</f>
        <v>15.767</v>
      </c>
      <c r="J42" s="44" cm="1">
        <f t="array" ref="J42">MAX(-H42,0)</f>
        <v>0</v>
      </c>
      <c r="K42" s="45" cm="1">
        <f t="array" ref="K42">D42/D22-1</f>
        <v>0.0844411714659921</v>
      </c>
      <c r="L42" s="45" cm="1">
        <f t="array" ref="L42">K42-E42</f>
        <v>1.714659921e-07</v>
      </c>
      <c r="M42" s="44"/>
      <c r="N42" s="44"/>
      <c r="O42" s="43" cm="1">
        <f t="array" ref="O42">IF(AVERAGE(J29:J42)=0,100,100-100/(1+AVERAGE(I29:I42)/AVERAGE(J29:J42)))</f>
        <v>73.45470452017049</v>
      </c>
      <c r="P42" s="44" cm="1">
        <f t="array" ref="P42">O42-G42</f>
        <v>0.0047045201705</v>
      </c>
    </row>
    <row r="43" ht="13.65" customHeight="1">
      <c r="A43" t="s" s="42">
        <v>22</v>
      </c>
      <c r="B43" t="s" s="42">
        <v>103</v>
      </c>
      <c r="C43" s="43">
        <v>1463.1</v>
      </c>
      <c r="D43" s="44">
        <v>1450.8684</v>
      </c>
      <c r="E43" s="45">
        <v>0.081854</v>
      </c>
      <c r="F43" s="44">
        <v>1316.5825</v>
      </c>
      <c r="G43" s="43">
        <v>73.2</v>
      </c>
      <c r="H43" s="44" cm="1">
        <f t="array" ref="H43">D43-D42</f>
        <v>2.8757</v>
      </c>
      <c r="I43" s="44" cm="1">
        <f t="array" ref="I43">MAX(H43,0)</f>
        <v>2.8757</v>
      </c>
      <c r="J43" s="44" cm="1">
        <f t="array" ref="J43">MAX(-H43,0)</f>
        <v>0</v>
      </c>
      <c r="K43" s="45" cm="1">
        <f t="array" ref="K43">D43/D23-1</f>
        <v>0.08185444732840851</v>
      </c>
      <c r="L43" s="45" cm="1">
        <f t="array" ref="L43">K43-E43</f>
        <v>4.473284085e-07</v>
      </c>
      <c r="M43" s="44"/>
      <c r="N43" s="44"/>
      <c r="O43" s="43" cm="1">
        <f t="array" ref="O43">IF(AVERAGE(J30:J43)=0,100,100-100/(1+AVERAGE(I30:I43)/AVERAGE(J30:J43)))</f>
        <v>73.2032694437125</v>
      </c>
      <c r="P43" s="44" cm="1">
        <f t="array" ref="P43">O43-G43</f>
        <v>0.0032694437125</v>
      </c>
    </row>
    <row r="44" ht="13.65" customHeight="1">
      <c r="A44" t="s" s="42">
        <v>22</v>
      </c>
      <c r="B44" t="s" s="42">
        <v>104</v>
      </c>
      <c r="C44" s="43">
        <v>1440.7</v>
      </c>
      <c r="D44" s="44">
        <v>1428.6556</v>
      </c>
      <c r="E44" s="45">
        <v>0.076515</v>
      </c>
      <c r="F44" s="44">
        <v>1320.0394</v>
      </c>
      <c r="G44" s="43">
        <v>61.2</v>
      </c>
      <c r="H44" s="44" cm="1">
        <f t="array" ref="H44">D44-D43</f>
        <v>-22.2128</v>
      </c>
      <c r="I44" s="44" cm="1">
        <f t="array" ref="I44">MAX(H44,0)</f>
        <v>0</v>
      </c>
      <c r="J44" s="44" cm="1">
        <f t="array" ref="J44">MAX(-H44,0)</f>
        <v>22.2128</v>
      </c>
      <c r="K44" s="45" cm="1">
        <f t="array" ref="K44">D44/D24-1</f>
        <v>0.0765148799068775</v>
      </c>
      <c r="L44" s="45" cm="1">
        <f t="array" ref="L44">K44-E44</f>
        <v>-1.200931225e-07</v>
      </c>
      <c r="M44" s="44"/>
      <c r="N44" s="44"/>
      <c r="O44" s="43" cm="1">
        <f t="array" ref="O44">IF(AVERAGE(J31:J44)=0,100,100-100/(1+AVERAGE(I31:I44)/AVERAGE(J31:J44)))</f>
        <v>61.1997131779418</v>
      </c>
      <c r="P44" s="44" cm="1">
        <f t="array" ref="P44">O44-G44</f>
        <v>-0.0002868220582</v>
      </c>
    </row>
    <row r="45" ht="13.65" customHeight="1">
      <c r="A45" t="s" s="42">
        <v>22</v>
      </c>
      <c r="B45" t="s" s="42">
        <v>105</v>
      </c>
      <c r="C45" s="43">
        <v>1434.6</v>
      </c>
      <c r="D45" s="44">
        <v>1422.6067</v>
      </c>
      <c r="E45" s="45">
        <v>0.044409</v>
      </c>
      <c r="F45" s="44">
        <v>1323.8929</v>
      </c>
      <c r="G45" s="43">
        <v>56.58</v>
      </c>
      <c r="H45" s="44" cm="1">
        <f t="array" ref="H45">D45-D44</f>
        <v>-6.0489</v>
      </c>
      <c r="I45" s="44" cm="1">
        <f t="array" ref="I45">MAX(H45,0)</f>
        <v>0</v>
      </c>
      <c r="J45" s="44" cm="1">
        <f t="array" ref="J45">MAX(-H45,0)</f>
        <v>6.0489</v>
      </c>
      <c r="K45" s="45" cm="1">
        <f t="array" ref="K45">D45/D25-1</f>
        <v>0.0444088234143227</v>
      </c>
      <c r="L45" s="45" cm="1">
        <f t="array" ref="L45">K45-E45</f>
        <v>-1.765856773e-07</v>
      </c>
      <c r="M45" s="44"/>
      <c r="N45" s="44"/>
      <c r="O45" s="43" cm="1">
        <f t="array" ref="O45">IF(AVERAGE(J32:J45)=0,100,100-100/(1+AVERAGE(I32:I45)/AVERAGE(J32:J45)))</f>
        <v>56.5759385704551</v>
      </c>
      <c r="P45" s="44" cm="1">
        <f t="array" ref="P45">O45-G45</f>
        <v>-0.0040614295449</v>
      </c>
    </row>
    <row r="46" ht="13.65" customHeight="1">
      <c r="A46" t="s" s="42">
        <v>22</v>
      </c>
      <c r="B46" t="s" s="42">
        <v>106</v>
      </c>
      <c r="C46" s="43">
        <v>1432.9</v>
      </c>
      <c r="D46" s="44">
        <v>1420.9209</v>
      </c>
      <c r="E46" s="45">
        <v>0.032721</v>
      </c>
      <c r="F46" s="44">
        <v>1327.8059</v>
      </c>
      <c r="G46" s="43">
        <v>51.85</v>
      </c>
      <c r="H46" s="44" cm="1">
        <f t="array" ref="H46">D46-D45</f>
        <v>-1.6858</v>
      </c>
      <c r="I46" s="44" cm="1">
        <f t="array" ref="I46">MAX(H46,0)</f>
        <v>0</v>
      </c>
      <c r="J46" s="44" cm="1">
        <f t="array" ref="J46">MAX(-H46,0)</f>
        <v>1.6858</v>
      </c>
      <c r="K46" s="45" cm="1">
        <f t="array" ref="K46">D46/D26-1</f>
        <v>0.0327206800201032</v>
      </c>
      <c r="L46" s="45" cm="1">
        <f t="array" ref="L46">K46-E46</f>
        <v>-3.199798968e-07</v>
      </c>
      <c r="M46" s="44"/>
      <c r="N46" s="44"/>
      <c r="O46" s="43" cm="1">
        <f t="array" ref="O46">IF(AVERAGE(J33:J46)=0,100,100-100/(1+AVERAGE(I33:I46)/AVERAGE(J33:J46)))</f>
        <v>51.8450022016733</v>
      </c>
      <c r="P46" s="44" cm="1">
        <f t="array" ref="P46">O46-G46</f>
        <v>-0.0049977983267</v>
      </c>
    </row>
    <row r="47" ht="13.65" customHeight="1">
      <c r="A47" t="s" s="42">
        <v>22</v>
      </c>
      <c r="B47" t="s" s="42">
        <v>107</v>
      </c>
      <c r="C47" s="43">
        <v>1445.7</v>
      </c>
      <c r="D47" s="44">
        <v>1433.6139</v>
      </c>
      <c r="E47" s="45">
        <v>0.041871</v>
      </c>
      <c r="F47" s="44">
        <v>1331.7665</v>
      </c>
      <c r="G47" s="43">
        <v>59.5</v>
      </c>
      <c r="H47" s="44" cm="1">
        <f t="array" ref="H47">D47-D46</f>
        <v>12.693</v>
      </c>
      <c r="I47" s="44" cm="1">
        <f t="array" ref="I47">MAX(H47,0)</f>
        <v>12.693</v>
      </c>
      <c r="J47" s="44" cm="1">
        <f t="array" ref="J47">MAX(-H47,0)</f>
        <v>0</v>
      </c>
      <c r="K47" s="45" cm="1">
        <f t="array" ref="K47">D47/D27-1</f>
        <v>0.041870869729904</v>
      </c>
      <c r="L47" s="45" cm="1">
        <f t="array" ref="L47">K47-E47</f>
        <v>-1.30270096e-07</v>
      </c>
      <c r="M47" s="44"/>
      <c r="N47" s="44"/>
      <c r="O47" s="43" cm="1">
        <f t="array" ref="O47">IF(AVERAGE(J34:J47)=0,100,100-100/(1+AVERAGE(I34:I47)/AVERAGE(J34:J47)))</f>
        <v>59.4975527679582</v>
      </c>
      <c r="P47" s="44" cm="1">
        <f t="array" ref="P47">O47-G47</f>
        <v>-0.0024472320418</v>
      </c>
    </row>
    <row r="48" ht="13.65" customHeight="1">
      <c r="A48" t="s" s="42">
        <v>22</v>
      </c>
      <c r="B48" t="s" s="42">
        <v>108</v>
      </c>
      <c r="C48" s="43">
        <v>1430.8</v>
      </c>
      <c r="D48" s="44">
        <v>1418.8385</v>
      </c>
      <c r="E48" s="45">
        <v>0.040431</v>
      </c>
      <c r="F48" s="44">
        <v>1335.4614</v>
      </c>
      <c r="G48" s="43">
        <v>67.43000000000001</v>
      </c>
      <c r="H48" s="44" cm="1">
        <f t="array" ref="H48">D48-D47</f>
        <v>-14.7754</v>
      </c>
      <c r="I48" s="44" cm="1">
        <f t="array" ref="I48">MAX(H48,0)</f>
        <v>0</v>
      </c>
      <c r="J48" s="44" cm="1">
        <f t="array" ref="J48">MAX(-H48,0)</f>
        <v>14.7754</v>
      </c>
      <c r="K48" s="45" cm="1">
        <f t="array" ref="K48">D48/D28-1</f>
        <v>0.0404305716962459</v>
      </c>
      <c r="L48" s="45" cm="1">
        <f t="array" ref="L48">K48-E48</f>
        <v>-4.283037541e-07</v>
      </c>
      <c r="M48" s="44"/>
      <c r="N48" s="44"/>
      <c r="O48" s="43" cm="1">
        <f t="array" ref="O48">IF(AVERAGE(J35:J48)=0,100,100-100/(1+AVERAGE(I35:I48)/AVERAGE(J35:J48)))</f>
        <v>67.4305514704853</v>
      </c>
      <c r="P48" s="44" cm="1">
        <f t="array" ref="P48">O48-G48</f>
        <v>0.0005514704853</v>
      </c>
    </row>
    <row r="49" ht="13.65" customHeight="1">
      <c r="A49" t="s" s="42">
        <v>22</v>
      </c>
      <c r="B49" t="s" s="42">
        <v>109</v>
      </c>
      <c r="C49" s="43">
        <v>1437.9</v>
      </c>
      <c r="D49" s="44">
        <v>1425.8792</v>
      </c>
      <c r="E49" s="45">
        <v>0.042108</v>
      </c>
      <c r="F49" s="44">
        <v>1339.1662</v>
      </c>
      <c r="G49" s="43">
        <v>68.94</v>
      </c>
      <c r="H49" s="44" cm="1">
        <f t="array" ref="H49">D49-D48</f>
        <v>7.0407</v>
      </c>
      <c r="I49" s="44" cm="1">
        <f t="array" ref="I49">MAX(H49,0)</f>
        <v>7.0407</v>
      </c>
      <c r="J49" s="44" cm="1">
        <f t="array" ref="J49">MAX(-H49,0)</f>
        <v>0</v>
      </c>
      <c r="K49" s="45" cm="1">
        <f t="array" ref="K49">D49/D29-1</f>
        <v>0.0421075626510627</v>
      </c>
      <c r="L49" s="45" cm="1">
        <f t="array" ref="L49">K49-E49</f>
        <v>-4.373489373e-07</v>
      </c>
      <c r="M49" s="44"/>
      <c r="N49" s="44"/>
      <c r="O49" s="43" cm="1">
        <f t="array" ref="O49">IF(AVERAGE(J36:J49)=0,100,100-100/(1+AVERAGE(I36:I49)/AVERAGE(J36:J49)))</f>
        <v>68.9404159264849</v>
      </c>
      <c r="P49" s="44" cm="1">
        <f t="array" ref="P49">O49-G49</f>
        <v>0.0004159264849</v>
      </c>
    </row>
    <row r="50" ht="13.65" customHeight="1">
      <c r="A50" t="s" s="42">
        <v>22</v>
      </c>
      <c r="B50" t="s" s="42">
        <v>110</v>
      </c>
      <c r="C50" s="43">
        <v>1433.9</v>
      </c>
      <c r="D50" s="44">
        <v>1421.9126</v>
      </c>
      <c r="E50" s="45">
        <v>0.024214</v>
      </c>
      <c r="F50" s="44">
        <v>1342.9959</v>
      </c>
      <c r="G50" s="43">
        <v>62.16</v>
      </c>
      <c r="H50" s="44" cm="1">
        <f t="array" ref="H50">D50-D49</f>
        <v>-3.9666</v>
      </c>
      <c r="I50" s="44" cm="1">
        <f t="array" ref="I50">MAX(H50,0)</f>
        <v>0</v>
      </c>
      <c r="J50" s="44" cm="1">
        <f t="array" ref="J50">MAX(-H50,0)</f>
        <v>3.9666</v>
      </c>
      <c r="K50" s="45" cm="1">
        <f t="array" ref="K50">D50/D30-1</f>
        <v>0.0242142885955157</v>
      </c>
      <c r="L50" s="45" cm="1">
        <f t="array" ref="L50">K50-E50</f>
        <v>2.885955157e-07</v>
      </c>
      <c r="M50" s="44"/>
      <c r="N50" s="44"/>
      <c r="O50" s="43" cm="1">
        <f t="array" ref="O50">IF(AVERAGE(J37:J50)=0,100,100-100/(1+AVERAGE(I37:I50)/AVERAGE(J37:J50)))</f>
        <v>62.1561600287908</v>
      </c>
      <c r="P50" s="44" cm="1">
        <f t="array" ref="P50">O50-G50</f>
        <v>-0.0038399712092</v>
      </c>
    </row>
    <row r="51" ht="13.65" customHeight="1">
      <c r="A51" t="s" s="42">
        <v>22</v>
      </c>
      <c r="B51" t="s" s="42">
        <v>111</v>
      </c>
      <c r="C51" s="43">
        <v>1435.4</v>
      </c>
      <c r="D51" s="44">
        <v>1423.4</v>
      </c>
      <c r="E51" s="45">
        <v>0.017004</v>
      </c>
      <c r="F51" s="44">
        <v>1346.9247</v>
      </c>
      <c r="G51" s="43">
        <v>60.14</v>
      </c>
      <c r="H51" s="44" cm="1">
        <f t="array" ref="H51">D51-D50</f>
        <v>1.4874</v>
      </c>
      <c r="I51" s="44" cm="1">
        <f t="array" ref="I51">MAX(H51,0)</f>
        <v>1.4874</v>
      </c>
      <c r="J51" s="44" cm="1">
        <f t="array" ref="J51">MAX(-H51,0)</f>
        <v>0</v>
      </c>
      <c r="K51" s="45" cm="1">
        <f t="array" ref="K51">D51/D31-1</f>
        <v>0.0170043498835061</v>
      </c>
      <c r="L51" s="45" cm="1">
        <f t="array" ref="L51">K51-E51</f>
        <v>3.498835061e-07</v>
      </c>
      <c r="M51" s="44" cm="1">
        <f t="array" ref="M51">AVERAGE(D2:D51)</f>
        <v>1346.924744</v>
      </c>
      <c r="N51" s="44" cm="1">
        <f t="array" ref="N51">M51-F51</f>
        <v>4.4e-05</v>
      </c>
      <c r="O51" s="43" cm="1">
        <f t="array" ref="O51">IF(AVERAGE(J38:J51)=0,100,100-100/(1+AVERAGE(I38:I51)/AVERAGE(J38:J51)))</f>
        <v>60.1409115820097</v>
      </c>
      <c r="P51" s="44" cm="1">
        <f t="array" ref="P51">O51-G51</f>
        <v>0.0009115820097</v>
      </c>
    </row>
    <row r="52" ht="13.65" customHeight="1">
      <c r="A52" t="s" s="42">
        <v>22</v>
      </c>
      <c r="B52" t="s" s="42">
        <v>112</v>
      </c>
      <c r="C52" s="43">
        <v>1460</v>
      </c>
      <c r="D52" s="44">
        <v>1460</v>
      </c>
      <c r="E52" s="45">
        <v>0.031823</v>
      </c>
      <c r="F52" s="44">
        <v>1351.4765</v>
      </c>
      <c r="G52" s="43">
        <v>69.84</v>
      </c>
      <c r="H52" s="44" cm="1">
        <f t="array" ref="H52">D52-D51</f>
        <v>36.6</v>
      </c>
      <c r="I52" s="44" cm="1">
        <f t="array" ref="I52">MAX(H52,0)</f>
        <v>36.6</v>
      </c>
      <c r="J52" s="44" cm="1">
        <f t="array" ref="J52">MAX(-H52,0)</f>
        <v>0</v>
      </c>
      <c r="K52" s="45" cm="1">
        <f t="array" ref="K52">D52/D32-1</f>
        <v>0.0318231941274278</v>
      </c>
      <c r="L52" s="45" cm="1">
        <f t="array" ref="L52">K52-E52</f>
        <v>1.941274278e-07</v>
      </c>
      <c r="M52" s="44" cm="1">
        <f t="array" ref="M52">AVERAGE(D3:D52)</f>
        <v>1351.47654</v>
      </c>
      <c r="N52" s="44" cm="1">
        <f t="array" ref="N52">M52-F52</f>
        <v>4e-05</v>
      </c>
      <c r="O52" s="43" cm="1">
        <f t="array" ref="O52">IF(AVERAGE(J39:J52)=0,100,100-100/(1+AVERAGE(I39:I52)/AVERAGE(J39:J52)))</f>
        <v>69.8418990693569</v>
      </c>
      <c r="P52" s="44" cm="1">
        <f t="array" ref="P52">O52-G52</f>
        <v>0.0018990693569</v>
      </c>
    </row>
    <row r="53" ht="13.65" customHeight="1">
      <c r="A53" t="s" s="42">
        <v>22</v>
      </c>
      <c r="B53" t="s" s="42">
        <v>113</v>
      </c>
      <c r="C53" s="43">
        <v>1454.6</v>
      </c>
      <c r="D53" s="44">
        <v>1454.6</v>
      </c>
      <c r="E53" s="45">
        <v>0.036872</v>
      </c>
      <c r="F53" s="44">
        <v>1355.4939</v>
      </c>
      <c r="G53" s="43">
        <v>65.86</v>
      </c>
      <c r="H53" s="44" cm="1">
        <f t="array" ref="H53">D53-D52</f>
        <v>-5.4</v>
      </c>
      <c r="I53" s="44" cm="1">
        <f t="array" ref="I53">MAX(H53,0)</f>
        <v>0</v>
      </c>
      <c r="J53" s="44" cm="1">
        <f t="array" ref="J53">MAX(-H53,0)</f>
        <v>5.4</v>
      </c>
      <c r="K53" s="45" cm="1">
        <f t="array" ref="K53">D53/D33-1</f>
        <v>0.0368721901412316</v>
      </c>
      <c r="L53" s="45" cm="1">
        <f t="array" ref="L53">K53-E53</f>
        <v>1.901412316e-07</v>
      </c>
      <c r="M53" s="44" cm="1">
        <f t="array" ref="M53">AVERAGE(D4:D53)</f>
        <v>1355.49393</v>
      </c>
      <c r="N53" s="44" cm="1">
        <f t="array" ref="N53">M53-F53</f>
        <v>3e-05</v>
      </c>
      <c r="O53" s="43" cm="1">
        <f t="array" ref="O53">IF(AVERAGE(J40:J53)=0,100,100-100/(1+AVERAGE(I40:I53)/AVERAGE(J40:J53)))</f>
        <v>65.8565760943324</v>
      </c>
      <c r="P53" s="44" cm="1">
        <f t="array" ref="P53">O53-G53</f>
        <v>-0.0034239056676</v>
      </c>
    </row>
    <row r="54" ht="13.65" customHeight="1">
      <c r="A54" t="s" s="42">
        <v>22</v>
      </c>
      <c r="B54" t="s" s="42">
        <v>114</v>
      </c>
      <c r="C54" s="43">
        <v>1450.1</v>
      </c>
      <c r="D54" s="44">
        <v>1450.1</v>
      </c>
      <c r="E54" s="45">
        <v>0.059195</v>
      </c>
      <c r="F54" s="44">
        <v>1358.8759</v>
      </c>
      <c r="G54" s="43">
        <v>63.59</v>
      </c>
      <c r="H54" s="44" cm="1">
        <f t="array" ref="H54">D54-D53</f>
        <v>-4.5</v>
      </c>
      <c r="I54" s="44" cm="1">
        <f t="array" ref="I54">MAX(H54,0)</f>
        <v>0</v>
      </c>
      <c r="J54" s="44" cm="1">
        <f t="array" ref="J54">MAX(-H54,0)</f>
        <v>4.5</v>
      </c>
      <c r="K54" s="45" cm="1">
        <f t="array" ref="K54">D54/D34-1</f>
        <v>0.059195369429537</v>
      </c>
      <c r="L54" s="45" cm="1">
        <f t="array" ref="L54">K54-E54</f>
        <v>3.69429537e-07</v>
      </c>
      <c r="M54" s="44" cm="1">
        <f t="array" ref="M54">AVERAGE(D5:D54)</f>
        <v>1358.875918</v>
      </c>
      <c r="N54" s="44" cm="1">
        <f t="array" ref="N54">M54-F54</f>
        <v>1.8e-05</v>
      </c>
      <c r="O54" s="43" cm="1">
        <f t="array" ref="O54">IF(AVERAGE(J41:J54)=0,100,100-100/(1+AVERAGE(I41:I54)/AVERAGE(J41:J54)))</f>
        <v>63.5943535037705</v>
      </c>
      <c r="P54" s="44" cm="1">
        <f t="array" ref="P54">O54-G54</f>
        <v>0.0043535037705</v>
      </c>
    </row>
    <row r="55" ht="13.65" customHeight="1">
      <c r="A55" t="s" s="42">
        <v>22</v>
      </c>
      <c r="B55" t="s" s="42">
        <v>115</v>
      </c>
      <c r="C55" s="43">
        <v>1457.5</v>
      </c>
      <c r="D55" s="44">
        <v>1457.5</v>
      </c>
      <c r="E55" s="45">
        <v>0.064523</v>
      </c>
      <c r="F55" s="44">
        <v>1362.6578</v>
      </c>
      <c r="G55" s="43">
        <v>58.87</v>
      </c>
      <c r="H55" s="44" cm="1">
        <f t="array" ref="H55">D55-D54</f>
        <v>7.4</v>
      </c>
      <c r="I55" s="44" cm="1">
        <f t="array" ref="I55">MAX(H55,0)</f>
        <v>7.4</v>
      </c>
      <c r="J55" s="44" cm="1">
        <f t="array" ref="J55">MAX(-H55,0)</f>
        <v>0</v>
      </c>
      <c r="K55" s="45" cm="1">
        <f t="array" ref="K55">D55/D35-1</f>
        <v>0.0645234893407419</v>
      </c>
      <c r="L55" s="45" cm="1">
        <f t="array" ref="L55">K55-E55</f>
        <v>4.893407419e-07</v>
      </c>
      <c r="M55" s="44" cm="1">
        <f t="array" ref="M55">AVERAGE(D6:D55)</f>
        <v>1362.657786</v>
      </c>
      <c r="N55" s="44" cm="1">
        <f t="array" ref="N55">M55-F55</f>
        <v>-1.4e-05</v>
      </c>
      <c r="O55" s="43" cm="1">
        <f t="array" ref="O55">IF(AVERAGE(J42:J55)=0,100,100-100/(1+AVERAGE(I42:I55)/AVERAGE(J42:J55)))</f>
        <v>58.8710826635817</v>
      </c>
      <c r="P55" s="44" cm="1">
        <f t="array" ref="P55">O55-G55</f>
        <v>0.0010826635817</v>
      </c>
    </row>
    <row r="56" ht="13.65" customHeight="1">
      <c r="A56" t="s" s="42">
        <v>22</v>
      </c>
      <c r="B56" t="s" s="42">
        <v>116</v>
      </c>
      <c r="C56" s="43">
        <v>1421</v>
      </c>
      <c r="D56" s="44">
        <v>1421</v>
      </c>
      <c r="E56" s="45">
        <v>0.02268</v>
      </c>
      <c r="F56" s="44">
        <v>1365.8366</v>
      </c>
      <c r="G56" s="43">
        <v>41.73</v>
      </c>
      <c r="H56" s="44" cm="1">
        <f t="array" ref="H56">D56-D55</f>
        <v>-36.5</v>
      </c>
      <c r="I56" s="44" cm="1">
        <f t="array" ref="I56">MAX(H56,0)</f>
        <v>0</v>
      </c>
      <c r="J56" s="44" cm="1">
        <f t="array" ref="J56">MAX(-H56,0)</f>
        <v>36.5</v>
      </c>
      <c r="K56" s="45" cm="1">
        <f t="array" ref="K56">D56/D36-1</f>
        <v>0.0226804764755422</v>
      </c>
      <c r="L56" s="45" cm="1">
        <f t="array" ref="L56">K56-E56</f>
        <v>4.764755422e-07</v>
      </c>
      <c r="M56" s="44" cm="1">
        <f t="array" ref="M56">AVERAGE(D7:D56)</f>
        <v>1365.836582</v>
      </c>
      <c r="N56" s="44" cm="1">
        <f t="array" ref="N56">M56-F56</f>
        <v>-1.8e-05</v>
      </c>
      <c r="O56" s="43" cm="1">
        <f t="array" ref="O56">IF(AVERAGE(J43:J56)=0,100,100-100/(1+AVERAGE(I43:I56)/AVERAGE(J43:J56)))</f>
        <v>41.7294834186448</v>
      </c>
      <c r="P56" s="44" cm="1">
        <f t="array" ref="P56">O56-G56</f>
        <v>-0.0005165813552</v>
      </c>
    </row>
    <row r="57" ht="13.65" customHeight="1">
      <c r="A57" t="s" s="42">
        <v>22</v>
      </c>
      <c r="B57" t="s" s="42">
        <v>117</v>
      </c>
      <c r="C57" s="43">
        <v>1431.8</v>
      </c>
      <c r="D57" s="44">
        <v>1431.8</v>
      </c>
      <c r="E57" s="45">
        <v>0.024385</v>
      </c>
      <c r="F57" s="44">
        <v>1369.5547</v>
      </c>
      <c r="G57" s="43">
        <v>44.43</v>
      </c>
      <c r="H57" s="44" cm="1">
        <f t="array" ref="H57">D57-D56</f>
        <v>10.8</v>
      </c>
      <c r="I57" s="44" cm="1">
        <f t="array" ref="I57">MAX(H57,0)</f>
        <v>10.8</v>
      </c>
      <c r="J57" s="44" cm="1">
        <f t="array" ref="J57">MAX(-H57,0)</f>
        <v>0</v>
      </c>
      <c r="K57" s="45" cm="1">
        <f t="array" ref="K57">D57/D37-1</f>
        <v>0.0243850577434653</v>
      </c>
      <c r="L57" s="45" cm="1">
        <f t="array" ref="L57">K57-E57</f>
        <v>5.77434653e-08</v>
      </c>
      <c r="M57" s="44" cm="1">
        <f t="array" ref="M57">AVERAGE(D8:D57)</f>
        <v>1369.554652</v>
      </c>
      <c r="N57" s="44" cm="1">
        <f t="array" ref="N57">M57-F57</f>
        <v>-4.8e-05</v>
      </c>
      <c r="O57" s="43" cm="1">
        <f t="array" ref="O57">IF(AVERAGE(J44:J57)=0,100,100-100/(1+AVERAGE(I44:I57)/AVERAGE(J44:J57)))</f>
        <v>44.4280482915728</v>
      </c>
      <c r="P57" s="44" cm="1">
        <f t="array" ref="P57">O57-G57</f>
        <v>-0.0019517084272</v>
      </c>
    </row>
    <row r="58" ht="13.65" customHeight="1">
      <c r="A58" t="s" s="42">
        <v>22</v>
      </c>
      <c r="B58" t="s" s="42">
        <v>118</v>
      </c>
      <c r="C58" s="43">
        <v>1429.6</v>
      </c>
      <c r="D58" s="44">
        <v>1429.6</v>
      </c>
      <c r="E58" s="45">
        <v>0.024119</v>
      </c>
      <c r="F58" s="44">
        <v>1373.5599</v>
      </c>
      <c r="G58" s="43">
        <v>50.31</v>
      </c>
      <c r="H58" s="44" cm="1">
        <f t="array" ref="H58">D58-D57</f>
        <v>-2.2</v>
      </c>
      <c r="I58" s="44" cm="1">
        <f t="array" ref="I58">MAX(H58,0)</f>
        <v>0</v>
      </c>
      <c r="J58" s="44" cm="1">
        <f t="array" ref="J58">MAX(-H58,0)</f>
        <v>2.2</v>
      </c>
      <c r="K58" s="45" cm="1">
        <f t="array" ref="K58">D58/D38-1</f>
        <v>0.0241190201668205</v>
      </c>
      <c r="L58" s="45" cm="1">
        <f t="array" ref="L58">K58-E58</f>
        <v>2.01668205e-08</v>
      </c>
      <c r="M58" s="44" cm="1">
        <f t="array" ref="M58">AVERAGE(D9:D58)</f>
        <v>1373.55993</v>
      </c>
      <c r="N58" s="44" cm="1">
        <f t="array" ref="N58">M58-F58</f>
        <v>3e-05</v>
      </c>
      <c r="O58" s="43" cm="1">
        <f t="array" ref="O58">IF(AVERAGE(J45:J58)=0,100,100-100/(1+AVERAGE(I45:I58)/AVERAGE(J45:J58)))</f>
        <v>50.3125128228207</v>
      </c>
      <c r="P58" s="44" cm="1">
        <f t="array" ref="P58">O58-G58</f>
        <v>0.0025128228207</v>
      </c>
    </row>
    <row r="59" ht="13.65" customHeight="1">
      <c r="A59" t="s" s="42">
        <v>22</v>
      </c>
      <c r="B59" t="s" s="42">
        <v>119</v>
      </c>
      <c r="C59" s="43">
        <v>1431.7</v>
      </c>
      <c r="D59" s="44">
        <v>1431.7</v>
      </c>
      <c r="E59" s="45">
        <v>0.019468</v>
      </c>
      <c r="F59" s="44">
        <v>1377.867</v>
      </c>
      <c r="G59" s="43">
        <v>53.09</v>
      </c>
      <c r="H59" s="44" cm="1">
        <f t="array" ref="H59">D59-D58</f>
        <v>2.1</v>
      </c>
      <c r="I59" s="44" cm="1">
        <f t="array" ref="I59">MAX(H59,0)</f>
        <v>2.1</v>
      </c>
      <c r="J59" s="44" cm="1">
        <f t="array" ref="J59">MAX(-H59,0)</f>
        <v>0</v>
      </c>
      <c r="K59" s="45" cm="1">
        <f t="array" ref="K59">D59/D39-1</f>
        <v>0.01946757972757</v>
      </c>
      <c r="L59" s="45" cm="1">
        <f t="array" ref="L59">K59-E59</f>
        <v>-0.000000420272</v>
      </c>
      <c r="M59" s="44" cm="1">
        <f t="array" ref="M59">AVERAGE(D10:D59)</f>
        <v>1377.867018</v>
      </c>
      <c r="N59" s="44" cm="1">
        <f t="array" ref="N59">M59-F59</f>
        <v>1.8e-05</v>
      </c>
      <c r="O59" s="43" cm="1">
        <f t="array" ref="O59">IF(AVERAGE(J46:J59)=0,100,100-100/(1+AVERAGE(I46:I59)/AVERAGE(J46:J59)))</f>
        <v>53.0898294176851</v>
      </c>
      <c r="P59" s="44" cm="1">
        <f t="array" ref="P59">O59-G59</f>
        <v>-0.0001705823149</v>
      </c>
    </row>
    <row r="60" ht="13.65" customHeight="1">
      <c r="A60" t="s" s="42">
        <v>22</v>
      </c>
      <c r="B60" t="s" s="42">
        <v>120</v>
      </c>
      <c r="C60" s="43">
        <v>1406.8</v>
      </c>
      <c r="D60" s="44">
        <v>1406.8</v>
      </c>
      <c r="E60" s="45">
        <v>0.000324</v>
      </c>
      <c r="F60" s="44">
        <v>1381.3707</v>
      </c>
      <c r="G60" s="43">
        <v>45.86</v>
      </c>
      <c r="H60" s="44" cm="1">
        <f t="array" ref="H60">D60-D59</f>
        <v>-24.9</v>
      </c>
      <c r="I60" s="44" cm="1">
        <f t="array" ref="I60">MAX(H60,0)</f>
        <v>0</v>
      </c>
      <c r="J60" s="44" cm="1">
        <f t="array" ref="J60">MAX(-H60,0)</f>
        <v>24.9</v>
      </c>
      <c r="K60" s="45" cm="1">
        <f t="array" ref="K60">D60/D40-1</f>
        <v>0.000324387251538351</v>
      </c>
      <c r="L60" s="45" cm="1">
        <f t="array" ref="L60">K60-E60</f>
        <v>3.87251538351e-07</v>
      </c>
      <c r="M60" s="44" cm="1">
        <f t="array" ref="M60">AVERAGE(D11:D60)</f>
        <v>1381.370682</v>
      </c>
      <c r="N60" s="44" cm="1">
        <f t="array" ref="N60">M60-F60</f>
        <v>-1.8e-05</v>
      </c>
      <c r="O60" s="43" cm="1">
        <f t="array" ref="O60">IF(AVERAGE(J47:J60)=0,100,100-100/(1+AVERAGE(I47:I60)/AVERAGE(J47:J60)))</f>
        <v>45.8556459702835</v>
      </c>
      <c r="P60" s="44" cm="1">
        <f t="array" ref="P60">O60-G60</f>
        <v>-0.0043540297165</v>
      </c>
    </row>
    <row r="61" ht="13.65" customHeight="1">
      <c r="A61" t="s" s="42">
        <v>22</v>
      </c>
      <c r="B61" t="s" s="42">
        <v>121</v>
      </c>
      <c r="C61" s="43">
        <v>1417</v>
      </c>
      <c r="D61" s="44">
        <v>1417</v>
      </c>
      <c r="E61" s="45">
        <v>-0.010631</v>
      </c>
      <c r="F61" s="44">
        <v>1384.886</v>
      </c>
      <c r="G61" s="43">
        <v>45.05</v>
      </c>
      <c r="H61" s="44" cm="1">
        <f t="array" ref="H61">D61-D60</f>
        <v>10.2</v>
      </c>
      <c r="I61" s="44" cm="1">
        <f t="array" ref="I61">MAX(H61,0)</f>
        <v>10.2</v>
      </c>
      <c r="J61" s="44" cm="1">
        <f t="array" ref="J61">MAX(-H61,0)</f>
        <v>0</v>
      </c>
      <c r="K61" s="45" cm="1">
        <f t="array" ref="K61">D61/D41-1</f>
        <v>-0.0106307965287873</v>
      </c>
      <c r="L61" s="45" cm="1">
        <f t="array" ref="L61">K61-E61</f>
        <v>2.034712127e-07</v>
      </c>
      <c r="M61" s="44" cm="1">
        <f t="array" ref="M61">AVERAGE(D12:D61)</f>
        <v>1384.885968</v>
      </c>
      <c r="N61" s="44" cm="1">
        <f t="array" ref="N61">M61-F61</f>
        <v>-3.2e-05</v>
      </c>
      <c r="O61" s="43" cm="1">
        <f t="array" ref="O61">IF(AVERAGE(J48:J61)=0,100,100-100/(1+AVERAGE(I48:I61)/AVERAGE(J48:J61)))</f>
        <v>45.0515607008038</v>
      </c>
      <c r="P61" s="44" cm="1">
        <f t="array" ref="P61">O61-G61</f>
        <v>0.0015607008038</v>
      </c>
    </row>
    <row r="62" ht="13.65" customHeight="1">
      <c r="A62" t="s" s="42">
        <v>22</v>
      </c>
      <c r="B62" t="s" s="42">
        <v>122</v>
      </c>
      <c r="C62" s="43">
        <v>1415.3</v>
      </c>
      <c r="D62" s="44">
        <v>1415.3</v>
      </c>
      <c r="E62" s="45">
        <v>-0.022578</v>
      </c>
      <c r="F62" s="44">
        <v>1388.161</v>
      </c>
      <c r="G62" s="43">
        <v>48.86</v>
      </c>
      <c r="H62" s="44" cm="1">
        <f t="array" ref="H62">D62-D61</f>
        <v>-1.7</v>
      </c>
      <c r="I62" s="44" cm="1">
        <f t="array" ref="I62">MAX(H62,0)</f>
        <v>0</v>
      </c>
      <c r="J62" s="44" cm="1">
        <f t="array" ref="J62">MAX(-H62,0)</f>
        <v>1.7</v>
      </c>
      <c r="K62" s="45" cm="1">
        <f t="array" ref="K62">D62/D42-1</f>
        <v>-0.0225779453169895</v>
      </c>
      <c r="L62" s="45" cm="1">
        <f t="array" ref="L62">K62-E62</f>
        <v>5.46830105e-08</v>
      </c>
      <c r="M62" s="44" cm="1">
        <f t="array" ref="M62">AVERAGE(D13:D62)</f>
        <v>1388.160992</v>
      </c>
      <c r="N62" s="44" cm="1">
        <f t="array" ref="N62">M62-F62</f>
        <v>-8e-06</v>
      </c>
      <c r="O62" s="43" cm="1">
        <f t="array" ref="O62">IF(AVERAGE(J49:J62)=0,100,100-100/(1+AVERAGE(I49:I62)/AVERAGE(J49:J62)))</f>
        <v>48.8570345108715</v>
      </c>
      <c r="P62" s="44" cm="1">
        <f t="array" ref="P62">O62-G62</f>
        <v>-0.0029654891285</v>
      </c>
    </row>
    <row r="63" ht="13.65" customHeight="1">
      <c r="A63" t="s" s="42">
        <v>22</v>
      </c>
      <c r="B63" t="s" s="42">
        <v>123</v>
      </c>
      <c r="C63" s="43">
        <v>1412</v>
      </c>
      <c r="D63" s="44">
        <v>1412</v>
      </c>
      <c r="E63" s="45">
        <v>-0.02679</v>
      </c>
      <c r="F63" s="44">
        <v>1391.606</v>
      </c>
      <c r="G63" s="43">
        <v>45.41</v>
      </c>
      <c r="H63" s="44" cm="1">
        <f t="array" ref="H63">D63-D62</f>
        <v>-3.3</v>
      </c>
      <c r="I63" s="44" cm="1">
        <f t="array" ref="I63">MAX(H63,0)</f>
        <v>0</v>
      </c>
      <c r="J63" s="44" cm="1">
        <f t="array" ref="J63">MAX(-H63,0)</f>
        <v>3.3</v>
      </c>
      <c r="K63" s="45" cm="1">
        <f t="array" ref="K63">D63/D43-1</f>
        <v>-0.0267897488152613</v>
      </c>
      <c r="L63" s="45" cm="1">
        <f t="array" ref="L63">K63-E63</f>
        <v>2.511847387e-07</v>
      </c>
      <c r="M63" s="44" cm="1">
        <f t="array" ref="M63">AVERAGE(D14:D63)</f>
        <v>1391.606026</v>
      </c>
      <c r="N63" s="44" cm="1">
        <f t="array" ref="N63">M63-F63</f>
        <v>2.6e-05</v>
      </c>
      <c r="O63" s="43" cm="1">
        <f t="array" ref="O63">IF(AVERAGE(J50:J63)=0,100,100-100/(1+AVERAGE(I50:I63)/AVERAGE(J50:J63)))</f>
        <v>45.4058813404478</v>
      </c>
      <c r="P63" s="44" cm="1">
        <f t="array" ref="P63">O63-G63</f>
        <v>-0.0041186595522</v>
      </c>
    </row>
    <row r="64" ht="13.65" customHeight="1">
      <c r="A64" t="s" s="42">
        <v>22</v>
      </c>
      <c r="B64" t="s" s="42">
        <v>124</v>
      </c>
      <c r="C64" s="43">
        <v>1402</v>
      </c>
      <c r="D64" s="44">
        <v>1402</v>
      </c>
      <c r="E64" s="45">
        <v>-0.018658</v>
      </c>
      <c r="F64" s="44">
        <v>1394.3592</v>
      </c>
      <c r="G64" s="43">
        <v>43.66</v>
      </c>
      <c r="H64" s="44" cm="1">
        <f t="array" ref="H64">D64-D63</f>
        <v>-10</v>
      </c>
      <c r="I64" s="44" cm="1">
        <f t="array" ref="I64">MAX(H64,0)</f>
        <v>0</v>
      </c>
      <c r="J64" s="44" cm="1">
        <f t="array" ref="J64">MAX(-H64,0)</f>
        <v>10</v>
      </c>
      <c r="K64" s="45" cm="1">
        <f t="array" ref="K64">D64/D44-1</f>
        <v>-0.0186578206812055</v>
      </c>
      <c r="L64" s="45" cm="1">
        <f t="array" ref="L64">K64-E64</f>
        <v>1.793187945e-07</v>
      </c>
      <c r="M64" s="44" cm="1">
        <f t="array" ref="M64">AVERAGE(D15:D64)</f>
        <v>1394.359208</v>
      </c>
      <c r="N64" s="44" cm="1">
        <f t="array" ref="N64">M64-F64</f>
        <v>8e-06</v>
      </c>
      <c r="O64" s="43" cm="1">
        <f t="array" ref="O64">IF(AVERAGE(J51:J64)=0,100,100-100/(1+AVERAGE(I51:I64)/AVERAGE(J51:J64)))</f>
        <v>43.6619359668567</v>
      </c>
      <c r="P64" s="44" cm="1">
        <f t="array" ref="P64">O64-G64</f>
        <v>0.0019359668567</v>
      </c>
    </row>
    <row r="65" ht="13.65" customHeight="1">
      <c r="A65" t="s" s="42">
        <v>22</v>
      </c>
      <c r="B65" t="s" s="42">
        <v>125</v>
      </c>
      <c r="C65" s="43">
        <v>1411.9</v>
      </c>
      <c r="D65" s="44">
        <v>1411.9</v>
      </c>
      <c r="E65" s="45">
        <v>-0.007526</v>
      </c>
      <c r="F65" s="44">
        <v>1396.9474</v>
      </c>
      <c r="G65" s="43">
        <v>46.53</v>
      </c>
      <c r="H65" s="44" cm="1">
        <f t="array" ref="H65">D65-D64</f>
        <v>9.9</v>
      </c>
      <c r="I65" s="44" cm="1">
        <f t="array" ref="I65">MAX(H65,0)</f>
        <v>9.9</v>
      </c>
      <c r="J65" s="44" cm="1">
        <f t="array" ref="J65">MAX(-H65,0)</f>
        <v>0</v>
      </c>
      <c r="K65" s="45" cm="1">
        <f t="array" ref="K65">D65/D45-1</f>
        <v>-0.00752611385845434</v>
      </c>
      <c r="L65" s="45" cm="1">
        <f t="array" ref="L65">K65-E65</f>
        <v>-1.1385845434e-07</v>
      </c>
      <c r="M65" s="44" cm="1">
        <f t="array" ref="M65">AVERAGE(D16:D65)</f>
        <v>1396.947448</v>
      </c>
      <c r="N65" s="44" cm="1">
        <f t="array" ref="N65">M65-F65</f>
        <v>4.8e-05</v>
      </c>
      <c r="O65" s="43" cm="1">
        <f t="array" ref="O65">IF(AVERAGE(J52:J65)=0,100,100-100/(1+AVERAGE(I52:I65)/AVERAGE(J52:J65)))</f>
        <v>46.5256797583082</v>
      </c>
      <c r="P65" s="44" cm="1">
        <f t="array" ref="P65">O65-G65</f>
        <v>-0.0043202416918</v>
      </c>
    </row>
    <row r="66" ht="13.65" customHeight="1">
      <c r="A66" t="s" s="42">
        <v>22</v>
      </c>
      <c r="B66" t="s" s="42">
        <v>126</v>
      </c>
      <c r="C66" s="43">
        <v>1420</v>
      </c>
      <c r="D66" s="44">
        <v>1420</v>
      </c>
      <c r="E66" s="45">
        <v>-0.000648</v>
      </c>
      <c r="F66" s="44">
        <v>1399.2277</v>
      </c>
      <c r="G66" s="43">
        <v>35.4</v>
      </c>
      <c r="H66" s="44" cm="1">
        <f t="array" ref="H66">D66-D65</f>
        <v>8.1</v>
      </c>
      <c r="I66" s="44" cm="1">
        <f t="array" ref="I66">MAX(H66,0)</f>
        <v>8.1</v>
      </c>
      <c r="J66" s="44" cm="1">
        <f t="array" ref="J66">MAX(-H66,0)</f>
        <v>0</v>
      </c>
      <c r="K66" s="45" cm="1">
        <f t="array" ref="K66">D66/D46-1</f>
        <v>-0.000648100819686726</v>
      </c>
      <c r="L66" s="45" cm="1">
        <f t="array" ref="L66">K66-E66</f>
        <v>-1.00819686726e-07</v>
      </c>
      <c r="M66" s="44" cm="1">
        <f t="array" ref="M66">AVERAGE(D17:D66)</f>
        <v>1399.22765</v>
      </c>
      <c r="N66" s="44" cm="1">
        <f t="array" ref="N66">M66-F66</f>
        <v>-5e-05</v>
      </c>
      <c r="O66" s="43" cm="1">
        <f t="array" ref="O66">IF(AVERAGE(J53:J66)=0,100,100-100/(1+AVERAGE(I53:I66)/AVERAGE(J53:J66)))</f>
        <v>35.4014598540146</v>
      </c>
      <c r="P66" s="44" cm="1">
        <f t="array" ref="P66">O66-G66</f>
        <v>0.0014598540146</v>
      </c>
    </row>
    <row r="67" ht="13.65" customHeight="1">
      <c r="A67" t="s" s="42">
        <v>22</v>
      </c>
      <c r="B67" t="s" s="42">
        <v>127</v>
      </c>
      <c r="C67" s="43">
        <v>1415</v>
      </c>
      <c r="D67" s="44">
        <v>1415</v>
      </c>
      <c r="E67" s="45">
        <v>-0.012984</v>
      </c>
      <c r="F67" s="44">
        <v>1400.9358</v>
      </c>
      <c r="G67" s="43">
        <v>35.51</v>
      </c>
      <c r="H67" s="44" cm="1">
        <f t="array" ref="H67">D67-D66</f>
        <v>-5</v>
      </c>
      <c r="I67" s="44" cm="1">
        <f t="array" ref="I67">MAX(H67,0)</f>
        <v>0</v>
      </c>
      <c r="J67" s="44" cm="1">
        <f t="array" ref="J67">MAX(-H67,0)</f>
        <v>5</v>
      </c>
      <c r="K67" s="45" cm="1">
        <f t="array" ref="K67">D67/D47-1</f>
        <v>-0.0129839003374619</v>
      </c>
      <c r="L67" s="45" cm="1">
        <f t="array" ref="L67">K67-E67</f>
        <v>9.96625381e-08</v>
      </c>
      <c r="M67" s="44" cm="1">
        <f t="array" ref="M67">AVERAGE(D18:D67)</f>
        <v>1400.935832</v>
      </c>
      <c r="N67" s="44" cm="1">
        <f t="array" ref="N67">M67-F67</f>
        <v>3.2e-05</v>
      </c>
      <c r="O67" s="43" cm="1">
        <f t="array" ref="O67">IF(AVERAGE(J54:J67)=0,100,100-100/(1+AVERAGE(I54:I67)/AVERAGE(J54:J67)))</f>
        <v>35.5051244509517</v>
      </c>
      <c r="P67" s="44" cm="1">
        <f t="array" ref="P67">O67-G67</f>
        <v>-0.0048755490483</v>
      </c>
    </row>
    <row r="68" ht="13.65" customHeight="1">
      <c r="A68" t="s" s="42">
        <v>22</v>
      </c>
      <c r="B68" t="s" s="42">
        <v>128</v>
      </c>
      <c r="C68" s="43">
        <v>1422.7</v>
      </c>
      <c r="D68" s="44">
        <v>1422.7</v>
      </c>
      <c r="E68" s="45">
        <v>0.002722</v>
      </c>
      <c r="F68" s="44">
        <v>1403.0598</v>
      </c>
      <c r="G68" s="43">
        <v>40.2</v>
      </c>
      <c r="H68" s="44" cm="1">
        <f t="array" ref="H68">D68-D67</f>
        <v>7.7</v>
      </c>
      <c r="I68" s="44" cm="1">
        <f t="array" ref="I68">MAX(H68,0)</f>
        <v>7.7</v>
      </c>
      <c r="J68" s="44" cm="1">
        <f t="array" ref="J68">MAX(-H68,0)</f>
        <v>0</v>
      </c>
      <c r="K68" s="45" cm="1">
        <f t="array" ref="K68">D68/D48-1</f>
        <v>0.00272159234472422</v>
      </c>
      <c r="L68" s="45" cm="1">
        <f t="array" ref="L68">K68-E68</f>
        <v>-4.0765527578e-07</v>
      </c>
      <c r="M68" s="44" cm="1">
        <f t="array" ref="M68">AVERAGE(D19:D68)</f>
        <v>1403.059808</v>
      </c>
      <c r="N68" s="44" cm="1">
        <f t="array" ref="N68">M68-F68</f>
        <v>8e-06</v>
      </c>
      <c r="O68" s="43" cm="1">
        <f t="array" ref="O68">IF(AVERAGE(J55:J68)=0,100,100-100/(1+AVERAGE(I55:I68)/AVERAGE(J55:J68)))</f>
        <v>40.2002861230329</v>
      </c>
      <c r="P68" s="44" cm="1">
        <f t="array" ref="P68">O68-G68</f>
        <v>0.0002861230329</v>
      </c>
    </row>
    <row r="69" ht="13.65" customHeight="1">
      <c r="A69" t="s" s="42">
        <v>22</v>
      </c>
      <c r="B69" t="s" s="42">
        <v>129</v>
      </c>
      <c r="C69" s="43">
        <v>1430</v>
      </c>
      <c r="D69" s="44">
        <v>1430</v>
      </c>
      <c r="E69" s="45">
        <v>0.00289</v>
      </c>
      <c r="F69" s="44">
        <v>1405.1969</v>
      </c>
      <c r="G69" s="43">
        <v>40.16</v>
      </c>
      <c r="H69" s="44" cm="1">
        <f t="array" ref="H69">D69-D68</f>
        <v>7.3</v>
      </c>
      <c r="I69" s="44" cm="1">
        <f t="array" ref="I69">MAX(H69,0)</f>
        <v>7.3</v>
      </c>
      <c r="J69" s="44" cm="1">
        <f t="array" ref="J69">MAX(-H69,0)</f>
        <v>0</v>
      </c>
      <c r="K69" s="45" cm="1">
        <f t="array" ref="K69">D69/D49-1</f>
        <v>0.00289000639044317</v>
      </c>
      <c r="L69" s="45" cm="1">
        <f t="array" ref="L69">K69-E69</f>
        <v>6.39044317e-09</v>
      </c>
      <c r="M69" s="44" cm="1">
        <f t="array" ref="M69">AVERAGE(D20:D69)</f>
        <v>1405.196902</v>
      </c>
      <c r="N69" s="44" cm="1">
        <f t="array" ref="N69">M69-F69</f>
        <v>2e-06</v>
      </c>
      <c r="O69" s="43" cm="1">
        <f t="array" ref="O69">IF(AVERAGE(J56:J69)=0,100,100-100/(1+AVERAGE(I56:I69)/AVERAGE(J56:J69)))</f>
        <v>40.1574803149606</v>
      </c>
      <c r="P69" s="44" cm="1">
        <f t="array" ref="P69">O69-G69</f>
        <v>-0.0025196850394</v>
      </c>
    </row>
    <row r="70" ht="13.65" customHeight="1">
      <c r="A70" t="s" s="42">
        <v>22</v>
      </c>
      <c r="B70" t="s" s="42">
        <v>130</v>
      </c>
      <c r="C70" s="43">
        <v>1443</v>
      </c>
      <c r="D70" s="44">
        <v>1443</v>
      </c>
      <c r="E70" s="45">
        <v>0.01483</v>
      </c>
      <c r="F70" s="44">
        <v>1407.5444</v>
      </c>
      <c r="G70" s="43">
        <v>59.47</v>
      </c>
      <c r="H70" s="44" cm="1">
        <f t="array" ref="H70">D70-D69</f>
        <v>13</v>
      </c>
      <c r="I70" s="44" cm="1">
        <f t="array" ref="I70">MAX(H70,0)</f>
        <v>13</v>
      </c>
      <c r="J70" s="44" cm="1">
        <f t="array" ref="J70">MAX(-H70,0)</f>
        <v>0</v>
      </c>
      <c r="K70" s="45" cm="1">
        <f t="array" ref="K70">D70/D50-1</f>
        <v>0.0148303067291196</v>
      </c>
      <c r="L70" s="45" cm="1">
        <f t="array" ref="L70">K70-E70</f>
        <v>3.067291196e-07</v>
      </c>
      <c r="M70" s="44" cm="1">
        <f t="array" ref="M70">AVERAGE(D21:D70)</f>
        <v>1407.544414</v>
      </c>
      <c r="N70" s="44" cm="1">
        <f t="array" ref="N70">M70-F70</f>
        <v>1.4e-05</v>
      </c>
      <c r="O70" s="43" cm="1">
        <f t="array" ref="O70">IF(AVERAGE(J57:J70)=0,100,100-100/(1+AVERAGE(I57:I70)/AVERAGE(J57:J70)))</f>
        <v>59.4664371772806</v>
      </c>
      <c r="P70" s="44" cm="1">
        <f t="array" ref="P70">O70-G70</f>
        <v>-0.0035628227194</v>
      </c>
    </row>
    <row r="71" ht="13.65" customHeight="1">
      <c r="A71" t="s" s="42">
        <v>22</v>
      </c>
      <c r="B71" t="s" s="42">
        <v>131</v>
      </c>
      <c r="C71" s="43">
        <v>1422.8</v>
      </c>
      <c r="D71" s="44">
        <v>1422.8</v>
      </c>
      <c r="E71" s="45">
        <v>-0.000422</v>
      </c>
      <c r="F71" s="44">
        <v>1409.3788</v>
      </c>
      <c r="G71" s="43">
        <v>46.42</v>
      </c>
      <c r="H71" s="44" cm="1">
        <f t="array" ref="H71">D71-D70</f>
        <v>-20.2</v>
      </c>
      <c r="I71" s="44" cm="1">
        <f t="array" ref="I71">MAX(H71,0)</f>
        <v>0</v>
      </c>
      <c r="J71" s="44" cm="1">
        <f t="array" ref="J71">MAX(-H71,0)</f>
        <v>20.2</v>
      </c>
      <c r="K71" s="45" cm="1">
        <f t="array" ref="K71">D71/D51-1</f>
        <v>-0.000421525923844316</v>
      </c>
      <c r="L71" s="45" cm="1">
        <f t="array" ref="L71">K71-E71</f>
        <v>4.74076155684e-07</v>
      </c>
      <c r="M71" s="44" cm="1">
        <f t="array" ref="M71">AVERAGE(D22:D71)</f>
        <v>1409.378846</v>
      </c>
      <c r="N71" s="44" cm="1">
        <f t="array" ref="N71">M71-F71</f>
        <v>4.6e-05</v>
      </c>
      <c r="O71" s="43" cm="1">
        <f t="array" ref="O71">IF(AVERAGE(J58:J71)=0,100,100-100/(1+AVERAGE(I58:I71)/AVERAGE(J58:J71)))</f>
        <v>46.4171974522293</v>
      </c>
      <c r="P71" s="44" cm="1">
        <f t="array" ref="P71">O71-G71</f>
        <v>-0.0028025477707</v>
      </c>
    </row>
    <row r="72" ht="13.65" customHeight="1">
      <c r="A72" t="s" s="42">
        <v>22</v>
      </c>
      <c r="B72" t="s" s="42">
        <v>132</v>
      </c>
      <c r="C72" s="43">
        <v>1454</v>
      </c>
      <c r="D72" s="44">
        <v>1454</v>
      </c>
      <c r="E72" s="45">
        <v>-0.00411</v>
      </c>
      <c r="F72" s="44">
        <v>1411.754</v>
      </c>
      <c r="G72" s="43">
        <v>57.89</v>
      </c>
      <c r="H72" s="44" cm="1">
        <f t="array" ref="H72">D72-D71</f>
        <v>31.2</v>
      </c>
      <c r="I72" s="44" cm="1">
        <f t="array" ref="I72">MAX(H72,0)</f>
        <v>31.2</v>
      </c>
      <c r="J72" s="44" cm="1">
        <f t="array" ref="J72">MAX(-H72,0)</f>
        <v>0</v>
      </c>
      <c r="K72" s="45" cm="1">
        <f t="array" ref="K72">D72/D52-1</f>
        <v>-0.00410958904109589</v>
      </c>
      <c r="L72" s="45" cm="1">
        <f t="array" ref="L72">K72-E72</f>
        <v>4.1095890411e-07</v>
      </c>
      <c r="M72" s="44" cm="1">
        <f t="array" ref="M72">AVERAGE(D23:D72)</f>
        <v>1411.753982</v>
      </c>
      <c r="N72" s="44" cm="1">
        <f t="array" ref="N72">M72-F72</f>
        <v>-1.8e-05</v>
      </c>
      <c r="O72" s="43" cm="1">
        <f t="array" ref="O72">IF(AVERAGE(J59:J72)=0,100,100-100/(1+AVERAGE(I59:I72)/AVERAGE(J59:J72)))</f>
        <v>57.8913324708926</v>
      </c>
      <c r="P72" s="44" cm="1">
        <f t="array" ref="P72">O72-G72</f>
        <v>0.0013324708926</v>
      </c>
    </row>
    <row r="73" ht="13.65" customHeight="1">
      <c r="A73" t="s" s="42">
        <v>22</v>
      </c>
      <c r="B73" t="s" s="42">
        <v>133</v>
      </c>
      <c r="C73" s="43">
        <v>1438</v>
      </c>
      <c r="D73" s="44">
        <v>1438</v>
      </c>
      <c r="E73" s="45">
        <v>-0.011412</v>
      </c>
      <c r="F73" s="44">
        <v>1413.6921</v>
      </c>
      <c r="G73" s="43">
        <v>51.87</v>
      </c>
      <c r="H73" s="44" cm="1">
        <f t="array" ref="H73">D73-D72</f>
        <v>-16</v>
      </c>
      <c r="I73" s="44" cm="1">
        <f t="array" ref="I73">MAX(H73,0)</f>
        <v>0</v>
      </c>
      <c r="J73" s="44" cm="1">
        <f t="array" ref="J73">MAX(-H73,0)</f>
        <v>16</v>
      </c>
      <c r="K73" s="45" cm="1">
        <f t="array" ref="K73">D73/D53-1</f>
        <v>-0.0114120720472982</v>
      </c>
      <c r="L73" s="45" cm="1">
        <f t="array" ref="L73">K73-E73</f>
        <v>-7.20472982e-08</v>
      </c>
      <c r="M73" s="44" cm="1">
        <f t="array" ref="M73">AVERAGE(D24:D73)</f>
        <v>1413.692104</v>
      </c>
      <c r="N73" s="44" cm="1">
        <f t="array" ref="N73">M73-F73</f>
        <v>4e-06</v>
      </c>
      <c r="O73" s="43" cm="1">
        <f t="array" ref="O73">IF(AVERAGE(J60:J73)=0,100,100-100/(1+AVERAGE(I60:I73)/AVERAGE(J60:J73)))</f>
        <v>51.8694362017804</v>
      </c>
      <c r="P73" s="44" cm="1">
        <f t="array" ref="P73">O73-G73</f>
        <v>-0.0005637982196</v>
      </c>
    </row>
    <row r="74" ht="13.65" customHeight="1">
      <c r="A74" t="s" s="42">
        <v>22</v>
      </c>
      <c r="B74" t="s" s="42">
        <v>134</v>
      </c>
      <c r="C74" s="43">
        <v>1426.5</v>
      </c>
      <c r="D74" s="44">
        <v>1426.5</v>
      </c>
      <c r="E74" s="45">
        <v>-0.016275</v>
      </c>
      <c r="F74" s="44">
        <v>1415.6799</v>
      </c>
      <c r="G74" s="43">
        <v>56.35</v>
      </c>
      <c r="H74" s="44" cm="1">
        <f t="array" ref="H74">D74-D73</f>
        <v>-11.5</v>
      </c>
      <c r="I74" s="44" cm="1">
        <f t="array" ref="I74">MAX(H74,0)</f>
        <v>0</v>
      </c>
      <c r="J74" s="44" cm="1">
        <f t="array" ref="J74">MAX(-H74,0)</f>
        <v>11.5</v>
      </c>
      <c r="K74" s="45" cm="1">
        <f t="array" ref="K74">D74/D54-1</f>
        <v>-0.016274739673126</v>
      </c>
      <c r="L74" s="45" cm="1">
        <f t="array" ref="L74">K74-E74</f>
        <v>2.60326874e-07</v>
      </c>
      <c r="M74" s="44" cm="1">
        <f t="array" ref="M74">AVERAGE(D25:D74)</f>
        <v>1415.679868</v>
      </c>
      <c r="N74" s="44" cm="1">
        <f t="array" ref="N74">M74-F74</f>
        <v>-3.2e-05</v>
      </c>
      <c r="O74" s="43" cm="1">
        <f t="array" ref="O74">IF(AVERAGE(J61:J74)=0,100,100-100/(1+AVERAGE(I61:I74)/AVERAGE(J61:J74)))</f>
        <v>56.3507414571244</v>
      </c>
      <c r="P74" s="44" cm="1">
        <f t="array" ref="P74">O74-G74</f>
        <v>0.0007414571244</v>
      </c>
    </row>
    <row r="75" ht="13.65" customHeight="1">
      <c r="A75" t="s" s="42">
        <v>22</v>
      </c>
      <c r="B75" t="s" s="42">
        <v>135</v>
      </c>
      <c r="C75" s="43">
        <v>1430</v>
      </c>
      <c r="D75" s="44">
        <v>1430</v>
      </c>
      <c r="E75" s="45">
        <v>-0.018868</v>
      </c>
      <c r="F75" s="44">
        <v>1417.0375</v>
      </c>
      <c r="G75" s="43">
        <v>54.38</v>
      </c>
      <c r="H75" s="44" cm="1">
        <f t="array" ref="H75">D75-D74</f>
        <v>3.5</v>
      </c>
      <c r="I75" s="44" cm="1">
        <f t="array" ref="I75">MAX(H75,0)</f>
        <v>3.5</v>
      </c>
      <c r="J75" s="44" cm="1">
        <f t="array" ref="J75">MAX(-H75,0)</f>
        <v>0</v>
      </c>
      <c r="K75" s="45" cm="1">
        <f t="array" ref="K75">D75/D55-1</f>
        <v>-0.0188679245283019</v>
      </c>
      <c r="L75" s="45" cm="1">
        <f t="array" ref="L75">K75-E75</f>
        <v>7.54716981e-08</v>
      </c>
      <c r="M75" s="44" cm="1">
        <f t="array" ref="M75">AVERAGE(D26:D75)</f>
        <v>1417.037534</v>
      </c>
      <c r="N75" s="44" cm="1">
        <f t="array" ref="N75">M75-F75</f>
        <v>3.4e-05</v>
      </c>
      <c r="O75" s="43" cm="1">
        <f t="array" ref="O75">IF(AVERAGE(J62:J75)=0,100,100-100/(1+AVERAGE(I62:I75)/AVERAGE(J62:J75)))</f>
        <v>54.3800539083558</v>
      </c>
      <c r="P75" s="44" cm="1">
        <f t="array" ref="P75">O75-G75</f>
        <v>5.39083558e-05</v>
      </c>
    </row>
    <row r="76" ht="13.65" customHeight="1">
      <c r="A76" t="s" s="42">
        <v>22</v>
      </c>
      <c r="B76" t="s" s="42">
        <v>136</v>
      </c>
      <c r="C76" s="43">
        <v>1423.2</v>
      </c>
      <c r="D76" s="44">
        <v>1423.2</v>
      </c>
      <c r="E76" s="45">
        <v>0.001548</v>
      </c>
      <c r="F76" s="44">
        <v>1417.9835</v>
      </c>
      <c r="G76" s="43">
        <v>52.57</v>
      </c>
      <c r="H76" s="44" cm="1">
        <f t="array" ref="H76">D76-D75</f>
        <v>-6.8</v>
      </c>
      <c r="I76" s="44" cm="1">
        <f t="array" ref="I76">MAX(H76,0)</f>
        <v>0</v>
      </c>
      <c r="J76" s="44" cm="1">
        <f t="array" ref="J76">MAX(-H76,0)</f>
        <v>6.8</v>
      </c>
      <c r="K76" s="45" cm="1">
        <f t="array" ref="K76">D76/D56-1</f>
        <v>0.00154820548909219</v>
      </c>
      <c r="L76" s="45" cm="1">
        <f t="array" ref="L76">K76-E76</f>
        <v>2.0548909219e-07</v>
      </c>
      <c r="M76" s="44" cm="1">
        <f t="array" ref="M76">AVERAGE(D27:D76)</f>
        <v>1417.983524</v>
      </c>
      <c r="N76" s="44" cm="1">
        <f t="array" ref="N76">M76-F76</f>
        <v>2.4e-05</v>
      </c>
      <c r="O76" s="43" cm="1">
        <f t="array" ref="O76">IF(AVERAGE(J63:J76)=0,100,100-100/(1+AVERAGE(I63:I76)/AVERAGE(J63:J76)))</f>
        <v>52.5732899022801</v>
      </c>
      <c r="P76" s="44" cm="1">
        <f t="array" ref="P76">O76-G76</f>
        <v>0.0032899022801</v>
      </c>
    </row>
    <row r="77" ht="13.65" customHeight="1">
      <c r="A77" t="s" s="42">
        <v>22</v>
      </c>
      <c r="B77" t="s" s="42">
        <v>137</v>
      </c>
      <c r="C77" s="43">
        <v>1427.5</v>
      </c>
      <c r="D77" s="44">
        <v>1427.5</v>
      </c>
      <c r="E77" s="45">
        <v>-0.003003</v>
      </c>
      <c r="F77" s="44">
        <v>1419.0135</v>
      </c>
      <c r="G77" s="43">
        <v>55.02</v>
      </c>
      <c r="H77" s="44" cm="1">
        <f t="array" ref="H77">D77-D76</f>
        <v>4.3</v>
      </c>
      <c r="I77" s="44" cm="1">
        <f t="array" ref="I77">MAX(H77,0)</f>
        <v>4.3</v>
      </c>
      <c r="J77" s="44" cm="1">
        <f t="array" ref="J77">MAX(-H77,0)</f>
        <v>0</v>
      </c>
      <c r="K77" s="45" cm="1">
        <f t="array" ref="K77">D77/D57-1</f>
        <v>-0.00300321273920939</v>
      </c>
      <c r="L77" s="45" cm="1">
        <f t="array" ref="L77">K77-E77</f>
        <v>-2.1273920939e-07</v>
      </c>
      <c r="M77" s="44" cm="1">
        <f t="array" ref="M77">AVERAGE(D28:D77)</f>
        <v>1419.013532</v>
      </c>
      <c r="N77" s="44" cm="1">
        <f t="array" ref="N77">M77-F77</f>
        <v>3.2e-05</v>
      </c>
      <c r="O77" s="43" cm="1">
        <f t="array" ref="O77">IF(AVERAGE(J64:J77)=0,100,100-100/(1+AVERAGE(I64:I77)/AVERAGE(J64:J77)))</f>
        <v>55.0161812297735</v>
      </c>
      <c r="P77" s="44" cm="1">
        <f t="array" ref="P77">O77-G77</f>
        <v>-0.0038187702265</v>
      </c>
    </row>
    <row r="78" ht="13.65" customHeight="1">
      <c r="A78" t="s" s="42">
        <v>22</v>
      </c>
      <c r="B78" t="s" s="42">
        <v>138</v>
      </c>
      <c r="C78" s="43">
        <v>1399.4</v>
      </c>
      <c r="D78" s="44">
        <v>1399.4</v>
      </c>
      <c r="E78" s="45">
        <v>-0.021125</v>
      </c>
      <c r="F78" s="44">
        <v>1419.7275</v>
      </c>
      <c r="G78" s="43">
        <v>49.25</v>
      </c>
      <c r="H78" s="44" cm="1">
        <f t="array" ref="H78">D78-D77</f>
        <v>-28.1</v>
      </c>
      <c r="I78" s="44" cm="1">
        <f t="array" ref="I78">MAX(H78,0)</f>
        <v>0</v>
      </c>
      <c r="J78" s="44" cm="1">
        <f t="array" ref="J78">MAX(-H78,0)</f>
        <v>28.1</v>
      </c>
      <c r="K78" s="45" cm="1">
        <f t="array" ref="K78">D78/D58-1</f>
        <v>-0.0211247901510912</v>
      </c>
      <c r="L78" s="45" cm="1">
        <f t="array" ref="L78">K78-E78</f>
        <v>2.098489088e-07</v>
      </c>
      <c r="M78" s="44" cm="1">
        <f t="array" ref="M78">AVERAGE(D29:D78)</f>
        <v>1419.727468</v>
      </c>
      <c r="N78" s="44" cm="1">
        <f t="array" ref="N78">M78-F78</f>
        <v>-3.2e-05</v>
      </c>
      <c r="O78" s="43" cm="1">
        <f t="array" ref="O78">IF(AVERAGE(J65:J78)=0,100,100-100/(1+AVERAGE(I65:I78)/AVERAGE(J65:J78)))</f>
        <v>49.2468134414832</v>
      </c>
      <c r="P78" s="44" cm="1">
        <f t="array" ref="P78">O78-G78</f>
        <v>-0.0031865585168</v>
      </c>
    </row>
    <row r="79" ht="13.65" customHeight="1">
      <c r="A79" t="s" s="42">
        <v>22</v>
      </c>
      <c r="B79" t="s" s="42">
        <v>139</v>
      </c>
      <c r="C79" s="43">
        <v>1389.1</v>
      </c>
      <c r="D79" s="44">
        <v>1389.1</v>
      </c>
      <c r="E79" s="45">
        <v>-0.029755</v>
      </c>
      <c r="F79" s="44">
        <v>1420.1442</v>
      </c>
      <c r="G79" s="43">
        <v>43.41</v>
      </c>
      <c r="H79" s="44" cm="1">
        <f t="array" ref="H79">D79-D78</f>
        <v>-10.3</v>
      </c>
      <c r="I79" s="44" cm="1">
        <f t="array" ref="I79">MAX(H79,0)</f>
        <v>0</v>
      </c>
      <c r="J79" s="44" cm="1">
        <f t="array" ref="J79">MAX(-H79,0)</f>
        <v>10.3</v>
      </c>
      <c r="K79" s="45" cm="1">
        <f t="array" ref="K79">D79/D59-1</f>
        <v>-0.0297548369071733</v>
      </c>
      <c r="L79" s="45" cm="1">
        <f t="array" ref="L79">K79-E79</f>
        <v>1.630928267e-07</v>
      </c>
      <c r="M79" s="44" cm="1">
        <f t="array" ref="M79">AVERAGE(D30:D79)</f>
        <v>1420.14417</v>
      </c>
      <c r="N79" s="44" cm="1">
        <f t="array" ref="N79">M79-F79</f>
        <v>-3e-05</v>
      </c>
      <c r="O79" s="43" cm="1">
        <f t="array" ref="O79">IF(AVERAGE(J66:J79)=0,100,100-100/(1+AVERAGE(I66:I79)/AVERAGE(J66:J79)))</f>
        <v>43.4104046242775</v>
      </c>
      <c r="P79" s="44" cm="1">
        <f t="array" ref="P79">O79-G79</f>
        <v>0.0004046242775</v>
      </c>
    </row>
    <row r="80" ht="13.65" customHeight="1">
      <c r="A80" t="s" s="42">
        <v>22</v>
      </c>
      <c r="B80" t="s" s="42">
        <v>140</v>
      </c>
      <c r="C80" s="43">
        <v>1384.5</v>
      </c>
      <c r="D80" s="44">
        <v>1384.5</v>
      </c>
      <c r="E80" s="45">
        <v>-0.015852</v>
      </c>
      <c r="F80" s="44">
        <v>1420.0683</v>
      </c>
      <c r="G80" s="43">
        <v>39.53</v>
      </c>
      <c r="H80" s="44" cm="1">
        <f t="array" ref="H80">D80-D79</f>
        <v>-4.6</v>
      </c>
      <c r="I80" s="44" cm="1">
        <f t="array" ref="I80">MAX(H80,0)</f>
        <v>0</v>
      </c>
      <c r="J80" s="44" cm="1">
        <f t="array" ref="J80">MAX(-H80,0)</f>
        <v>4.6</v>
      </c>
      <c r="K80" s="45" cm="1">
        <f t="array" ref="K80">D80/D60-1</f>
        <v>-0.015851578049474</v>
      </c>
      <c r="L80" s="45" cm="1">
        <f t="array" ref="L80">K80-E80</f>
        <v>4.21950526e-07</v>
      </c>
      <c r="M80" s="44" cm="1">
        <f t="array" ref="M80">AVERAGE(D31:D80)</f>
        <v>1420.06825</v>
      </c>
      <c r="N80" s="44" cm="1">
        <f t="array" ref="N80">M80-F80</f>
        <v>-5e-05</v>
      </c>
      <c r="O80" s="43" cm="1">
        <f t="array" ref="O80">IF(AVERAGE(J67:J80)=0,100,100-100/(1+AVERAGE(I67:I80)/AVERAGE(J67:J80)))</f>
        <v>39.5280235988201</v>
      </c>
      <c r="P80" s="44" cm="1">
        <f t="array" ref="P80">O80-G80</f>
        <v>-0.0019764011799</v>
      </c>
    </row>
    <row r="81" ht="13.65" customHeight="1">
      <c r="A81" t="s" s="42">
        <v>22</v>
      </c>
      <c r="B81" t="s" s="42">
        <v>141</v>
      </c>
      <c r="C81" s="43">
        <v>1379.3</v>
      </c>
      <c r="D81" s="44">
        <v>1379.3</v>
      </c>
      <c r="E81" s="45">
        <v>-0.026606</v>
      </c>
      <c r="F81" s="44">
        <v>1419.6622</v>
      </c>
      <c r="G81" s="43">
        <v>39.48</v>
      </c>
      <c r="H81" s="44" cm="1">
        <f t="array" ref="H81">D81-D80</f>
        <v>-5.2</v>
      </c>
      <c r="I81" s="44" cm="1">
        <f t="array" ref="I81">MAX(H81,0)</f>
        <v>0</v>
      </c>
      <c r="J81" s="44" cm="1">
        <f t="array" ref="J81">MAX(-H81,0)</f>
        <v>5.2</v>
      </c>
      <c r="K81" s="45" cm="1">
        <f t="array" ref="K81">D81/D61-1</f>
        <v>-0.026605504587156</v>
      </c>
      <c r="L81" s="45" cm="1">
        <f t="array" ref="L81">K81-E81</f>
        <v>4.95412844e-07</v>
      </c>
      <c r="M81" s="44" cm="1">
        <f t="array" ref="M81">AVERAGE(D32:D81)</f>
        <v>1419.662236</v>
      </c>
      <c r="N81" s="44" cm="1">
        <f t="array" ref="N81">M81-F81</f>
        <v>3.6e-05</v>
      </c>
      <c r="O81" s="43" cm="1">
        <f t="array" ref="O81">IF(AVERAGE(J68:J81)=0,100,100-100/(1+AVERAGE(I68:I81)/AVERAGE(J68:J81)))</f>
        <v>39.4814378314673</v>
      </c>
      <c r="P81" s="44" cm="1">
        <f t="array" ref="P81">O81-G81</f>
        <v>0.0014378314673</v>
      </c>
    </row>
    <row r="82" ht="13.65" customHeight="1">
      <c r="A82" t="s" s="42">
        <v>22</v>
      </c>
      <c r="B82" t="s" s="42">
        <v>142</v>
      </c>
      <c r="C82" s="43">
        <v>1350.4</v>
      </c>
      <c r="D82" s="44">
        <v>1350.4</v>
      </c>
      <c r="E82" s="45">
        <v>-0.045856</v>
      </c>
      <c r="F82" s="44">
        <v>1418.3708</v>
      </c>
      <c r="G82" s="43">
        <v>31.06</v>
      </c>
      <c r="H82" s="44" cm="1">
        <f t="array" ref="H82">D82-D81</f>
        <v>-28.9</v>
      </c>
      <c r="I82" s="44" cm="1">
        <f t="array" ref="I82">MAX(H82,0)</f>
        <v>0</v>
      </c>
      <c r="J82" s="44" cm="1">
        <f t="array" ref="J82">MAX(-H82,0)</f>
        <v>28.9</v>
      </c>
      <c r="K82" s="45" cm="1">
        <f t="array" ref="K82">D82/D62-1</f>
        <v>-0.0458560022610047</v>
      </c>
      <c r="L82" s="45" cm="1">
        <f t="array" ref="L82">K82-E82</f>
        <v>-0.000000002261</v>
      </c>
      <c r="M82" s="44" cm="1">
        <f t="array" ref="M82">AVERAGE(D33:D82)</f>
        <v>1418.370814</v>
      </c>
      <c r="N82" s="44" cm="1">
        <f t="array" ref="N82">M82-F82</f>
        <v>1.4e-05</v>
      </c>
      <c r="O82" s="43" cm="1">
        <f t="array" ref="O82">IF(AVERAGE(J69:J82)=0,100,100-100/(1+AVERAGE(I69:I82)/AVERAGE(J69:J82)))</f>
        <v>31.0633839706653</v>
      </c>
      <c r="P82" s="44" cm="1">
        <f t="array" ref="P82">O82-G82</f>
        <v>0.0033839706653</v>
      </c>
    </row>
    <row r="83" ht="13.65" customHeight="1">
      <c r="A83" t="s" s="42">
        <v>22</v>
      </c>
      <c r="B83" t="s" s="42">
        <v>143</v>
      </c>
      <c r="C83" s="43">
        <v>1358.8</v>
      </c>
      <c r="D83" s="44">
        <v>1358.8</v>
      </c>
      <c r="E83" s="45">
        <v>-0.037677</v>
      </c>
      <c r="F83" s="44">
        <v>1417.4894</v>
      </c>
      <c r="G83" s="43">
        <v>31.46</v>
      </c>
      <c r="H83" s="44" cm="1">
        <f t="array" ref="H83">D83-D82</f>
        <v>8.4</v>
      </c>
      <c r="I83" s="44" cm="1">
        <f t="array" ref="I83">MAX(H83,0)</f>
        <v>8.4</v>
      </c>
      <c r="J83" s="44" cm="1">
        <f t="array" ref="J83">MAX(-H83,0)</f>
        <v>0</v>
      </c>
      <c r="K83" s="45" cm="1">
        <f t="array" ref="K83">D83/D63-1</f>
        <v>-0.0376770538243626</v>
      </c>
      <c r="L83" s="45" cm="1">
        <f t="array" ref="L83">K83-E83</f>
        <v>-5.38243626e-08</v>
      </c>
      <c r="M83" s="44" cm="1">
        <f t="array" ref="M83">AVERAGE(D34:D83)</f>
        <v>1417.489354</v>
      </c>
      <c r="N83" s="44" cm="1">
        <f t="array" ref="N83">M83-F83</f>
        <v>-4.6e-05</v>
      </c>
      <c r="O83" s="43" cm="1">
        <f t="array" ref="O83">IF(AVERAGE(J70:J83)=0,100,100-100/(1+AVERAGE(I70:I83)/AVERAGE(J70:J83)))</f>
        <v>31.4583333333333</v>
      </c>
      <c r="P83" s="44" cm="1">
        <f t="array" ref="P83">O83-G83</f>
        <v>-0.0016666666667</v>
      </c>
    </row>
    <row r="84" ht="13.65" customHeight="1">
      <c r="A84" t="s" s="42">
        <v>22</v>
      </c>
      <c r="B84" t="s" s="42">
        <v>144</v>
      </c>
      <c r="C84" s="43">
        <v>1347.6</v>
      </c>
      <c r="D84" s="44">
        <v>1347.6</v>
      </c>
      <c r="E84" s="45">
        <v>-0.038802</v>
      </c>
      <c r="F84" s="44">
        <v>1417.0602</v>
      </c>
      <c r="G84" s="43">
        <v>24.92</v>
      </c>
      <c r="H84" s="44" cm="1">
        <f t="array" ref="H84">D84-D83</f>
        <v>-11.2</v>
      </c>
      <c r="I84" s="44" cm="1">
        <f t="array" ref="I84">MAX(H84,0)</f>
        <v>0</v>
      </c>
      <c r="J84" s="44" cm="1">
        <f t="array" ref="J84">MAX(-H84,0)</f>
        <v>11.2</v>
      </c>
      <c r="K84" s="45" cm="1">
        <f t="array" ref="K84">D84/D64-1</f>
        <v>-0.0388017118402282</v>
      </c>
      <c r="L84" s="45" cm="1">
        <f t="array" ref="L84">K84-E84</f>
        <v>2.881597718e-07</v>
      </c>
      <c r="M84" s="44" cm="1">
        <f t="array" ref="M84">AVERAGE(D35:D84)</f>
        <v>1417.060192</v>
      </c>
      <c r="N84" s="44" cm="1">
        <f t="array" ref="N84">M84-F84</f>
        <v>-8e-06</v>
      </c>
      <c r="O84" s="43" cm="1">
        <f t="array" ref="O84">IF(AVERAGE(J71:J84)=0,100,100-100/(1+AVERAGE(I71:I84)/AVERAGE(J71:J84)))</f>
        <v>24.9211356466877</v>
      </c>
      <c r="P84" s="44" cm="1">
        <f t="array" ref="P84">O84-G84</f>
        <v>0.0011356466877</v>
      </c>
    </row>
    <row r="85" ht="13.65" customHeight="1">
      <c r="A85" t="s" s="42">
        <v>22</v>
      </c>
      <c r="B85" t="s" s="42">
        <v>145</v>
      </c>
      <c r="C85" s="43">
        <v>1338.9</v>
      </c>
      <c r="D85" s="44">
        <v>1338.9</v>
      </c>
      <c r="E85" s="45">
        <v>-0.051703</v>
      </c>
      <c r="F85" s="44">
        <v>1416.455</v>
      </c>
      <c r="G85" s="43">
        <v>26.52</v>
      </c>
      <c r="H85" s="44" cm="1">
        <f t="array" ref="H85">D85-D84</f>
        <v>-8.699999999999999</v>
      </c>
      <c r="I85" s="44" cm="1">
        <f t="array" ref="I85">MAX(H85,0)</f>
        <v>0</v>
      </c>
      <c r="J85" s="44" cm="1">
        <f t="array" ref="J85">MAX(-H85,0)</f>
        <v>8.699999999999999</v>
      </c>
      <c r="K85" s="45" cm="1">
        <f t="array" ref="K85">D85/D65-1</f>
        <v>-0.0517033784262342</v>
      </c>
      <c r="L85" s="45" cm="1">
        <f t="array" ref="L85">K85-E85</f>
        <v>-3.784262342e-07</v>
      </c>
      <c r="M85" s="44" cm="1">
        <f t="array" ref="M85">AVERAGE(D36:D85)</f>
        <v>1416.455048</v>
      </c>
      <c r="N85" s="44" cm="1">
        <f t="array" ref="N85">M85-F85</f>
        <v>4.8e-05</v>
      </c>
      <c r="O85" s="43" cm="1">
        <f t="array" ref="O85">IF(AVERAGE(J72:J85)=0,100,100-100/(1+AVERAGE(I72:I85)/AVERAGE(J72:J85)))</f>
        <v>26.5249020705092</v>
      </c>
      <c r="P85" s="44" cm="1">
        <f t="array" ref="P85">O85-G85</f>
        <v>0.0049020705092</v>
      </c>
    </row>
    <row r="86" ht="13.65" customHeight="1">
      <c r="A86" t="s" s="42">
        <v>22</v>
      </c>
      <c r="B86" t="s" s="42">
        <v>146</v>
      </c>
      <c r="C86" s="43">
        <v>1345</v>
      </c>
      <c r="D86" s="44">
        <v>1345</v>
      </c>
      <c r="E86" s="45">
        <v>-0.052817</v>
      </c>
      <c r="F86" s="44">
        <v>1415.5653</v>
      </c>
      <c r="G86" s="43">
        <v>14.52</v>
      </c>
      <c r="H86" s="44" cm="1">
        <f t="array" ref="H86">D86-D85</f>
        <v>6.1</v>
      </c>
      <c r="I86" s="44" cm="1">
        <f t="array" ref="I86">MAX(H86,0)</f>
        <v>6.1</v>
      </c>
      <c r="J86" s="44" cm="1">
        <f t="array" ref="J86">MAX(-H86,0)</f>
        <v>0</v>
      </c>
      <c r="K86" s="45" cm="1">
        <f t="array" ref="K86">D86/D66-1</f>
        <v>-0.0528169014084507</v>
      </c>
      <c r="L86" s="45" cm="1">
        <f t="array" ref="L86">K86-E86</f>
        <v>9.85915493e-08</v>
      </c>
      <c r="M86" s="44" cm="1">
        <f t="array" ref="M86">AVERAGE(D37:D86)</f>
        <v>1415.565332</v>
      </c>
      <c r="N86" s="44" cm="1">
        <f t="array" ref="N86">M86-F86</f>
        <v>3.2e-05</v>
      </c>
      <c r="O86" s="43" cm="1">
        <f t="array" ref="O86">IF(AVERAGE(J73:J86)=0,100,100-100/(1+AVERAGE(I73:I86)/AVERAGE(J73:J86)))</f>
        <v>14.5182291666667</v>
      </c>
      <c r="P86" s="44" cm="1">
        <f t="array" ref="P86">O86-G86</f>
        <v>-0.0017708333333</v>
      </c>
    </row>
    <row r="87" ht="13.65" customHeight="1">
      <c r="A87" t="s" s="42">
        <v>22</v>
      </c>
      <c r="B87" t="s" s="42">
        <v>147</v>
      </c>
      <c r="C87" s="43">
        <v>1339.6</v>
      </c>
      <c r="D87" s="44">
        <v>1339.6</v>
      </c>
      <c r="E87" s="45">
        <v>-0.053286</v>
      </c>
      <c r="F87" s="44">
        <v>1414.403</v>
      </c>
      <c r="G87" s="43">
        <v>15.59</v>
      </c>
      <c r="H87" s="44" cm="1">
        <f t="array" ref="H87">D87-D86</f>
        <v>-5.4</v>
      </c>
      <c r="I87" s="44" cm="1">
        <f t="array" ref="I87">MAX(H87,0)</f>
        <v>0</v>
      </c>
      <c r="J87" s="44" cm="1">
        <f t="array" ref="J87">MAX(-H87,0)</f>
        <v>5.4</v>
      </c>
      <c r="K87" s="45" cm="1">
        <f t="array" ref="K87">D87/D67-1</f>
        <v>-0.0532862190812721</v>
      </c>
      <c r="L87" s="45" cm="1">
        <f t="array" ref="L87">K87-E87</f>
        <v>-2.190812721e-07</v>
      </c>
      <c r="M87" s="44" cm="1">
        <f t="array" ref="M87">AVERAGE(D38:D87)</f>
        <v>1414.403</v>
      </c>
      <c r="N87" s="44" cm="1">
        <f t="array" ref="N87">M87-F87</f>
        <v>0</v>
      </c>
      <c r="O87" s="43" cm="1">
        <f t="array" ref="O87">IF(AVERAGE(J74:J87)=0,100,100-100/(1+AVERAGE(I74:I87)/AVERAGE(J74:J87)))</f>
        <v>15.5944055944056</v>
      </c>
      <c r="P87" s="44" cm="1">
        <f t="array" ref="P87">O87-G87</f>
        <v>0.0044055944056</v>
      </c>
    </row>
    <row r="88" ht="13.65" customHeight="1">
      <c r="A88" t="s" s="42">
        <v>22</v>
      </c>
      <c r="B88" t="s" s="42">
        <v>148</v>
      </c>
      <c r="C88" s="43">
        <v>1340</v>
      </c>
      <c r="D88" s="44">
        <v>1340</v>
      </c>
      <c r="E88" s="45">
        <v>-0.058129</v>
      </c>
      <c r="F88" s="44">
        <v>1413.2844</v>
      </c>
      <c r="G88" s="43">
        <v>17.21</v>
      </c>
      <c r="H88" s="44" cm="1">
        <f t="array" ref="H88">D88-D87</f>
        <v>0.4</v>
      </c>
      <c r="I88" s="44" cm="1">
        <f t="array" ref="I88">MAX(H88,0)</f>
        <v>0.4</v>
      </c>
      <c r="J88" s="44" cm="1">
        <f t="array" ref="J88">MAX(-H88,0)</f>
        <v>0</v>
      </c>
      <c r="K88" s="45" cm="1">
        <f t="array" ref="K88">D88/D68-1</f>
        <v>-0.0581289098193576</v>
      </c>
      <c r="L88" s="45" cm="1">
        <f t="array" ref="L88">K88-E88</f>
        <v>9.01806424e-08</v>
      </c>
      <c r="M88" s="44" cm="1">
        <f t="array" ref="M88">AVERAGE(D39:D88)</f>
        <v>1413.28437</v>
      </c>
      <c r="N88" s="44" cm="1">
        <f t="array" ref="N88">M88-F88</f>
        <v>-3e-05</v>
      </c>
      <c r="O88" s="43" cm="1">
        <f t="array" ref="O88">IF(AVERAGE(J75:J88)=0,100,100-100/(1+AVERAGE(I75:I88)/AVERAGE(J75:J88)))</f>
        <v>17.2100075815011</v>
      </c>
      <c r="P88" s="44" cm="1">
        <f t="array" ref="P88">O88-G88</f>
        <v>0.000007581501</v>
      </c>
    </row>
    <row r="89" ht="13.65" customHeight="1">
      <c r="A89" t="s" s="42">
        <v>22</v>
      </c>
      <c r="B89" t="s" s="42">
        <v>149</v>
      </c>
      <c r="C89" s="43">
        <v>1334.5</v>
      </c>
      <c r="D89" s="44">
        <v>1334.5</v>
      </c>
      <c r="E89" s="45">
        <v>-0.066783</v>
      </c>
      <c r="F89" s="44">
        <v>1411.8872</v>
      </c>
      <c r="G89" s="43">
        <v>14.34</v>
      </c>
      <c r="H89" s="44" cm="1">
        <f t="array" ref="H89">D89-D88</f>
        <v>-5.5</v>
      </c>
      <c r="I89" s="44" cm="1">
        <f t="array" ref="I89">MAX(H89,0)</f>
        <v>0</v>
      </c>
      <c r="J89" s="44" cm="1">
        <f t="array" ref="J89">MAX(-H89,0)</f>
        <v>5.5</v>
      </c>
      <c r="K89" s="45" cm="1">
        <f t="array" ref="K89">D89/D69-1</f>
        <v>-0.0667832167832168</v>
      </c>
      <c r="L89" s="45" cm="1">
        <f t="array" ref="L89">K89-E89</f>
        <v>-2.167832168e-07</v>
      </c>
      <c r="M89" s="44" cm="1">
        <f t="array" ref="M89">AVERAGE(D40:D89)</f>
        <v>1411.88716</v>
      </c>
      <c r="N89" s="44" cm="1">
        <f t="array" ref="N89">M89-F89</f>
        <v>-4e-05</v>
      </c>
      <c r="O89" s="43" cm="1">
        <f t="array" ref="O89">IF(AVERAGE(J76:J89)=0,100,100-100/(1+AVERAGE(I76:I89)/AVERAGE(J76:J89)))</f>
        <v>14.3390589992532</v>
      </c>
      <c r="P89" s="44" cm="1">
        <f t="array" ref="P89">O89-G89</f>
        <v>-0.0009410007468</v>
      </c>
    </row>
    <row r="90" ht="13.65" customHeight="1">
      <c r="A90" t="s" s="42">
        <v>22</v>
      </c>
      <c r="B90" t="s" s="42">
        <v>150</v>
      </c>
      <c r="C90" s="43">
        <v>1326.8</v>
      </c>
      <c r="D90" s="44">
        <v>1326.8</v>
      </c>
      <c r="E90" s="45">
        <v>-0.080527</v>
      </c>
      <c r="F90" s="44">
        <v>1410.2963</v>
      </c>
      <c r="G90" s="43">
        <v>14.24</v>
      </c>
      <c r="H90" s="44" cm="1">
        <f t="array" ref="H90">D90-D89</f>
        <v>-7.7</v>
      </c>
      <c r="I90" s="44" cm="1">
        <f t="array" ref="I90">MAX(H90,0)</f>
        <v>0</v>
      </c>
      <c r="J90" s="44" cm="1">
        <f t="array" ref="J90">MAX(-H90,0)</f>
        <v>7.7</v>
      </c>
      <c r="K90" s="45" cm="1">
        <f t="array" ref="K90">D90/D70-1</f>
        <v>-0.08052668052668049</v>
      </c>
      <c r="L90" s="45" cm="1">
        <f t="array" ref="L90">K90-E90</f>
        <v>3.194733195e-07</v>
      </c>
      <c r="M90" s="44" cm="1">
        <f t="array" ref="M90">AVERAGE(D41:D90)</f>
        <v>1410.296284</v>
      </c>
      <c r="N90" s="44" cm="1">
        <f t="array" ref="N90">M90-F90</f>
        <v>-1.6e-05</v>
      </c>
      <c r="O90" s="43" cm="1">
        <f t="array" ref="O90">IF(AVERAGE(J77:J90)=0,100,100-100/(1+AVERAGE(I77:I90)/AVERAGE(J77:J90)))</f>
        <v>14.2433234421365</v>
      </c>
      <c r="P90" s="44" cm="1">
        <f t="array" ref="P90">O90-G90</f>
        <v>0.0033234421365</v>
      </c>
    </row>
    <row r="91" ht="13.65" customHeight="1">
      <c r="A91" t="s" s="42">
        <v>22</v>
      </c>
      <c r="B91" t="s" s="42">
        <v>151</v>
      </c>
      <c r="C91" s="43">
        <v>1302</v>
      </c>
      <c r="D91" s="44">
        <v>1302</v>
      </c>
      <c r="E91" s="45">
        <v>-0.08490300000000001</v>
      </c>
      <c r="F91" s="44">
        <v>1407.6918</v>
      </c>
      <c r="G91" s="43">
        <v>9.59</v>
      </c>
      <c r="H91" s="44" cm="1">
        <f t="array" ref="H91">D91-D90</f>
        <v>-24.8</v>
      </c>
      <c r="I91" s="44" cm="1">
        <f t="array" ref="I91">MAX(H91,0)</f>
        <v>0</v>
      </c>
      <c r="J91" s="44" cm="1">
        <f t="array" ref="J91">MAX(-H91,0)</f>
        <v>24.8</v>
      </c>
      <c r="K91" s="45" cm="1">
        <f t="array" ref="K91">D91/D71-1</f>
        <v>-0.0849030081529379</v>
      </c>
      <c r="L91" s="45" cm="1">
        <f t="array" ref="L91">K91-E91</f>
        <v>-0.000000008153</v>
      </c>
      <c r="M91" s="44" cm="1">
        <f t="array" ref="M91">AVERAGE(D42:D91)</f>
        <v>1407.69177</v>
      </c>
      <c r="N91" s="44" cm="1">
        <f t="array" ref="N91">M91-F91</f>
        <v>-3e-05</v>
      </c>
      <c r="O91" s="43" cm="1">
        <f t="array" ref="O91">IF(AVERAGE(J78:J91)=0,100,100-100/(1+AVERAGE(I78:I91)/AVERAGE(J78:J91)))</f>
        <v>9.59433354797167</v>
      </c>
      <c r="P91" s="44" cm="1">
        <f t="array" ref="P91">O91-G91</f>
        <v>0.00433354797167</v>
      </c>
    </row>
    <row r="92" ht="13.65" customHeight="1">
      <c r="A92" t="s" s="42">
        <v>22</v>
      </c>
      <c r="B92" t="s" s="42">
        <v>152</v>
      </c>
      <c r="C92" s="43">
        <v>1292.2</v>
      </c>
      <c r="D92" s="44">
        <v>1292.2</v>
      </c>
      <c r="E92" s="45">
        <v>-0.111279</v>
      </c>
      <c r="F92" s="44">
        <v>1404.5759</v>
      </c>
      <c r="G92" s="43">
        <v>10.88</v>
      </c>
      <c r="H92" s="44" cm="1">
        <f t="array" ref="H92">D92-D91</f>
        <v>-9.800000000000001</v>
      </c>
      <c r="I92" s="44" cm="1">
        <f t="array" ref="I92">MAX(H92,0)</f>
        <v>0</v>
      </c>
      <c r="J92" s="44" cm="1">
        <f t="array" ref="J92">MAX(-H92,0)</f>
        <v>9.800000000000001</v>
      </c>
      <c r="K92" s="45" cm="1">
        <f t="array" ref="K92">D92/D72-1</f>
        <v>-0.111279229711142</v>
      </c>
      <c r="L92" s="45" cm="1">
        <f t="array" ref="L92">K92-E92</f>
        <v>-2.29711142e-07</v>
      </c>
      <c r="M92" s="44" cm="1">
        <f t="array" ref="M92">AVERAGE(D43:D92)</f>
        <v>1404.575916</v>
      </c>
      <c r="N92" s="44" cm="1">
        <f t="array" ref="N92">M92-F92</f>
        <v>1.6e-05</v>
      </c>
      <c r="O92" s="43" cm="1">
        <f t="array" ref="O92">IF(AVERAGE(J79:J92)=0,100,100-100/(1+AVERAGE(I79:I92)/AVERAGE(J79:J92)))</f>
        <v>10.8759124087591</v>
      </c>
      <c r="P92" s="44" cm="1">
        <f t="array" ref="P92">O92-G92</f>
        <v>-0.0040875912409</v>
      </c>
    </row>
    <row r="93" ht="13.65" customHeight="1">
      <c r="A93" t="s" s="42">
        <v>22</v>
      </c>
      <c r="B93" t="s" s="42">
        <v>153</v>
      </c>
      <c r="C93" s="43">
        <v>1321.7</v>
      </c>
      <c r="D93" s="44">
        <v>1321.7</v>
      </c>
      <c r="E93" s="45">
        <v>-0.080876</v>
      </c>
      <c r="F93" s="44">
        <v>1401.9925</v>
      </c>
      <c r="G93" s="43">
        <v>28.43</v>
      </c>
      <c r="H93" s="44" cm="1">
        <f t="array" ref="H93">D93-D92</f>
        <v>29.5</v>
      </c>
      <c r="I93" s="44" cm="1">
        <f t="array" ref="I93">MAX(H93,0)</f>
        <v>29.5</v>
      </c>
      <c r="J93" s="44" cm="1">
        <f t="array" ref="J93">MAX(-H93,0)</f>
        <v>0</v>
      </c>
      <c r="K93" s="45" cm="1">
        <f t="array" ref="K93">D93/D73-1</f>
        <v>-0.0808762169680111</v>
      </c>
      <c r="L93" s="45" cm="1">
        <f t="array" ref="L93">K93-E93</f>
        <v>-2.169680111e-07</v>
      </c>
      <c r="M93" s="44" cm="1">
        <f t="array" ref="M93">AVERAGE(D44:D93)</f>
        <v>1401.992548</v>
      </c>
      <c r="N93" s="44" cm="1">
        <f t="array" ref="N93">M93-F93</f>
        <v>4.8e-05</v>
      </c>
      <c r="O93" s="43" cm="1">
        <f t="array" ref="O93">IF(AVERAGE(J80:J93)=0,100,100-100/(1+AVERAGE(I80:I93)/AVERAGE(J80:J93)))</f>
        <v>28.4250960307298</v>
      </c>
      <c r="P93" s="44" cm="1">
        <f t="array" ref="P93">O93-G93</f>
        <v>-0.0049039692702</v>
      </c>
    </row>
    <row r="94" ht="13.65" customHeight="1">
      <c r="A94" t="s" s="42">
        <v>22</v>
      </c>
      <c r="B94" t="s" s="42">
        <v>154</v>
      </c>
      <c r="C94" s="43">
        <v>1310.6</v>
      </c>
      <c r="D94" s="44">
        <v>1310.6</v>
      </c>
      <c r="E94" s="45">
        <v>-0.081248</v>
      </c>
      <c r="F94" s="44">
        <v>1399.6314</v>
      </c>
      <c r="G94" s="43">
        <v>27.29</v>
      </c>
      <c r="H94" s="44" cm="1">
        <f t="array" ref="H94">D94-D93</f>
        <v>-11.1</v>
      </c>
      <c r="I94" s="44" cm="1">
        <f t="array" ref="I94">MAX(H94,0)</f>
        <v>0</v>
      </c>
      <c r="J94" s="44" cm="1">
        <f t="array" ref="J94">MAX(-H94,0)</f>
        <v>11.1</v>
      </c>
      <c r="K94" s="45" cm="1">
        <f t="array" ref="K94">D94/D74-1</f>
        <v>-0.0812478093235191</v>
      </c>
      <c r="L94" s="45" cm="1">
        <f t="array" ref="L94">K94-E94</f>
        <v>1.906764809e-07</v>
      </c>
      <c r="M94" s="44" cm="1">
        <f t="array" ref="M94">AVERAGE(D45:D94)</f>
        <v>1399.631436</v>
      </c>
      <c r="N94" s="44" cm="1">
        <f t="array" ref="N94">M94-F94</f>
        <v>3.6e-05</v>
      </c>
      <c r="O94" s="43" cm="1">
        <f t="array" ref="O94">IF(AVERAGE(J81:J94)=0,100,100-100/(1+AVERAGE(I81:I94)/AVERAGE(J81:J94)))</f>
        <v>27.2894898586355</v>
      </c>
      <c r="P94" s="44" cm="1">
        <f t="array" ref="P94">O94-G94</f>
        <v>-0.0005101413645</v>
      </c>
    </row>
    <row r="95" ht="13.65" customHeight="1">
      <c r="A95" t="s" s="42">
        <v>22</v>
      </c>
      <c r="B95" t="s" s="42">
        <v>155</v>
      </c>
      <c r="C95" s="43">
        <v>1332</v>
      </c>
      <c r="D95" s="44">
        <v>1332</v>
      </c>
      <c r="E95" s="45">
        <v>-0.06853099999999999</v>
      </c>
      <c r="F95" s="44">
        <v>1397.8193</v>
      </c>
      <c r="G95" s="43">
        <v>36.78</v>
      </c>
      <c r="H95" s="44" cm="1">
        <f t="array" ref="H95">D95-D94</f>
        <v>21.4</v>
      </c>
      <c r="I95" s="44" cm="1">
        <f t="array" ref="I95">MAX(H95,0)</f>
        <v>21.4</v>
      </c>
      <c r="J95" s="44" cm="1">
        <f t="array" ref="J95">MAX(-H95,0)</f>
        <v>0</v>
      </c>
      <c r="K95" s="45" cm="1">
        <f t="array" ref="K95">D95/D75-1</f>
        <v>-0.06853146853146851</v>
      </c>
      <c r="L95" s="45" cm="1">
        <f t="array" ref="L95">K95-E95</f>
        <v>-4.685314685e-07</v>
      </c>
      <c r="M95" s="44" cm="1">
        <f t="array" ref="M95">AVERAGE(D46:D95)</f>
        <v>1397.819302</v>
      </c>
      <c r="N95" s="44" cm="1">
        <f t="array" ref="N95">M95-F95</f>
        <v>2e-06</v>
      </c>
      <c r="O95" s="43" cm="1">
        <f t="array" ref="O95">IF(AVERAGE(J82:J95)=0,100,100-100/(1+AVERAGE(I82:I95)/AVERAGE(J82:J95)))</f>
        <v>36.7803242034656</v>
      </c>
      <c r="P95" s="44" cm="1">
        <f t="array" ref="P95">O95-G95</f>
        <v>0.0003242034656</v>
      </c>
    </row>
    <row r="96" ht="13.65" customHeight="1">
      <c r="A96" t="s" s="42">
        <v>22</v>
      </c>
      <c r="B96" t="s" s="42">
        <v>156</v>
      </c>
      <c r="C96" s="43">
        <v>1342.8</v>
      </c>
      <c r="D96" s="44">
        <v>1342.8</v>
      </c>
      <c r="E96" s="45">
        <v>-0.056492</v>
      </c>
      <c r="F96" s="44">
        <v>1396.2569</v>
      </c>
      <c r="G96" s="43">
        <v>47.64</v>
      </c>
      <c r="H96" s="44" cm="1">
        <f t="array" ref="H96">D96-D95</f>
        <v>10.8</v>
      </c>
      <c r="I96" s="44" cm="1">
        <f t="array" ref="I96">MAX(H96,0)</f>
        <v>10.8</v>
      </c>
      <c r="J96" s="44" cm="1">
        <f t="array" ref="J96">MAX(-H96,0)</f>
        <v>0</v>
      </c>
      <c r="K96" s="45" cm="1">
        <f t="array" ref="K96">D96/D76-1</f>
        <v>-0.0564924114671164</v>
      </c>
      <c r="L96" s="45" cm="1">
        <f t="array" ref="L96">K96-E96</f>
        <v>-4.114671164e-07</v>
      </c>
      <c r="M96" s="44" cm="1">
        <f t="array" ref="M96">AVERAGE(D47:D96)</f>
        <v>1396.256884</v>
      </c>
      <c r="N96" s="44" cm="1">
        <f t="array" ref="N96">M96-F96</f>
        <v>-1.6e-05</v>
      </c>
      <c r="O96" s="43" cm="1">
        <f t="array" ref="O96">IF(AVERAGE(J83:J96)=0,100,100-100/(1+AVERAGE(I83:I96)/AVERAGE(J83:J96)))</f>
        <v>47.636815920398</v>
      </c>
      <c r="P96" s="44" cm="1">
        <f t="array" ref="P96">O96-G96</f>
        <v>-0.003184079602</v>
      </c>
    </row>
    <row r="97" ht="13.65" customHeight="1">
      <c r="A97" t="s" s="42">
        <v>22</v>
      </c>
      <c r="B97" t="s" s="42">
        <v>157</v>
      </c>
      <c r="C97" s="43">
        <v>1357.5</v>
      </c>
      <c r="D97" s="44">
        <v>1357.5</v>
      </c>
      <c r="E97" s="45">
        <v>-0.049037</v>
      </c>
      <c r="F97" s="44">
        <v>1394.7346</v>
      </c>
      <c r="G97" s="43">
        <v>49.61</v>
      </c>
      <c r="H97" s="44" cm="1">
        <f t="array" ref="H97">D97-D96</f>
        <v>14.7</v>
      </c>
      <c r="I97" s="44" cm="1">
        <f t="array" ref="I97">MAX(H97,0)</f>
        <v>14.7</v>
      </c>
      <c r="J97" s="44" cm="1">
        <f t="array" ref="J97">MAX(-H97,0)</f>
        <v>0</v>
      </c>
      <c r="K97" s="45" cm="1">
        <f t="array" ref="K97">D97/D77-1</f>
        <v>-0.0490367775831874</v>
      </c>
      <c r="L97" s="45" cm="1">
        <f t="array" ref="L97">K97-E97</f>
        <v>2.224168126e-07</v>
      </c>
      <c r="M97" s="44" cm="1">
        <f t="array" ref="M97">AVERAGE(D48:D97)</f>
        <v>1394.734606</v>
      </c>
      <c r="N97" s="44" cm="1">
        <f t="array" ref="N97">M97-F97</f>
        <v>6e-06</v>
      </c>
      <c r="O97" s="43" cm="1">
        <f t="array" ref="O97">IF(AVERAGE(J84:J97)=0,100,100-100/(1+AVERAGE(I84:I97)/AVERAGE(J84:J97)))</f>
        <v>49.6110113704369</v>
      </c>
      <c r="P97" s="44" cm="1">
        <f t="array" ref="P97">O97-G97</f>
        <v>0.0010113704369</v>
      </c>
    </row>
    <row r="98" ht="13.65" customHeight="1">
      <c r="A98" t="s" s="42">
        <v>22</v>
      </c>
      <c r="B98" t="s" s="42">
        <v>158</v>
      </c>
      <c r="C98" s="43">
        <v>1349</v>
      </c>
      <c r="D98" s="44">
        <v>1349</v>
      </c>
      <c r="E98" s="45">
        <v>-0.036015</v>
      </c>
      <c r="F98" s="44">
        <v>1393.3378</v>
      </c>
      <c r="G98" s="43">
        <v>50.43</v>
      </c>
      <c r="H98" s="44" cm="1">
        <f t="array" ref="H98">D98-D97</f>
        <v>-8.5</v>
      </c>
      <c r="I98" s="44" cm="1">
        <f t="array" ref="I98">MAX(H98,0)</f>
        <v>0</v>
      </c>
      <c r="J98" s="44" cm="1">
        <f t="array" ref="J98">MAX(-H98,0)</f>
        <v>8.5</v>
      </c>
      <c r="K98" s="45" cm="1">
        <f t="array" ref="K98">D98/D78-1</f>
        <v>-0.0360154351865085</v>
      </c>
      <c r="L98" s="45" cm="1">
        <f t="array" ref="L98">K98-E98</f>
        <v>-4.351865085e-07</v>
      </c>
      <c r="M98" s="44" cm="1">
        <f t="array" ref="M98">AVERAGE(D49:D98)</f>
        <v>1393.337836</v>
      </c>
      <c r="N98" s="44" cm="1">
        <f t="array" ref="N98">M98-F98</f>
        <v>3.6e-05</v>
      </c>
      <c r="O98" s="43" cm="1">
        <f t="array" ref="O98">IF(AVERAGE(J85:J98)=0,100,100-100/(1+AVERAGE(I85:I98)/AVERAGE(J85:J98)))</f>
        <v>50.4257907542579</v>
      </c>
      <c r="P98" s="44" cm="1">
        <f t="array" ref="P98">O98-G98</f>
        <v>-0.0042092457421</v>
      </c>
    </row>
    <row r="99" ht="13.65" customHeight="1">
      <c r="A99" t="s" s="42">
        <v>22</v>
      </c>
      <c r="B99" t="s" s="42">
        <v>159</v>
      </c>
      <c r="C99" s="43">
        <v>1355</v>
      </c>
      <c r="D99" s="44">
        <v>1355</v>
      </c>
      <c r="E99" s="45">
        <v>-0.024548</v>
      </c>
      <c r="F99" s="44">
        <v>1391.9203</v>
      </c>
      <c r="G99" s="43">
        <v>54.98</v>
      </c>
      <c r="H99" s="44" cm="1">
        <f t="array" ref="H99">D99-D98</f>
        <v>6</v>
      </c>
      <c r="I99" s="44" cm="1">
        <f t="array" ref="I99">MAX(H99,0)</f>
        <v>6</v>
      </c>
      <c r="J99" s="44" cm="1">
        <f t="array" ref="J99">MAX(-H99,0)</f>
        <v>0</v>
      </c>
      <c r="K99" s="45" cm="1">
        <f t="array" ref="K99">D99/D79-1</f>
        <v>-0.0245482686631632</v>
      </c>
      <c r="L99" s="45" cm="1">
        <f t="array" ref="L99">K99-E99</f>
        <v>-2.686631632e-07</v>
      </c>
      <c r="M99" s="44" cm="1">
        <f t="array" ref="M99">AVERAGE(D50:D99)</f>
        <v>1391.920252</v>
      </c>
      <c r="N99" s="44" cm="1">
        <f t="array" ref="N99">M99-F99</f>
        <v>-4.8e-05</v>
      </c>
      <c r="O99" s="43" cm="1">
        <f t="array" ref="O99">IF(AVERAGE(J86:J99)=0,100,100-100/(1+AVERAGE(I86:I99)/AVERAGE(J86:J99)))</f>
        <v>54.978354978355</v>
      </c>
      <c r="P99" s="44" cm="1">
        <f t="array" ref="P99">O99-G99</f>
        <v>-0.001645021645</v>
      </c>
    </row>
    <row r="100" ht="13.65" customHeight="1">
      <c r="A100" t="s" s="42">
        <v>22</v>
      </c>
      <c r="B100" t="s" s="42">
        <v>160</v>
      </c>
      <c r="C100" s="43">
        <v>1340</v>
      </c>
      <c r="D100" s="44">
        <v>1340</v>
      </c>
      <c r="E100" s="45">
        <v>-0.032142</v>
      </c>
      <c r="F100" s="44">
        <v>1390.282</v>
      </c>
      <c r="G100" s="43">
        <v>48.53</v>
      </c>
      <c r="H100" s="44" cm="1">
        <f t="array" ref="H100">D100-D99</f>
        <v>-15</v>
      </c>
      <c r="I100" s="44" cm="1">
        <f t="array" ref="I100">MAX(H100,0)</f>
        <v>0</v>
      </c>
      <c r="J100" s="44" cm="1">
        <f t="array" ref="J100">MAX(-H100,0)</f>
        <v>15</v>
      </c>
      <c r="K100" s="45" cm="1">
        <f t="array" ref="K100">D100/D80-1</f>
        <v>-0.032141567352835</v>
      </c>
      <c r="L100" s="45" cm="1">
        <f t="array" ref="L100">K100-E100</f>
        <v>4.32647165e-07</v>
      </c>
      <c r="M100" s="44" cm="1">
        <f t="array" ref="M100">AVERAGE(D51:D100)</f>
        <v>1390.282</v>
      </c>
      <c r="N100" s="44" cm="1">
        <f t="array" ref="N100">M100-F100</f>
        <v>0</v>
      </c>
      <c r="O100" s="43" cm="1">
        <f t="array" ref="O100">IF(AVERAGE(J87:J100)=0,100,100-100/(1+AVERAGE(I87:I100)/AVERAGE(J87:J100)))</f>
        <v>48.5345838218054</v>
      </c>
      <c r="P100" s="44" cm="1">
        <f t="array" ref="P100">O100-G100</f>
        <v>0.0045838218054</v>
      </c>
    </row>
    <row r="101" ht="13.65" customHeight="1">
      <c r="A101" t="s" s="42">
        <v>22</v>
      </c>
      <c r="B101" t="s" s="42">
        <v>161</v>
      </c>
      <c r="C101" s="43">
        <v>1345.7</v>
      </c>
      <c r="D101" s="44">
        <v>1345.7</v>
      </c>
      <c r="E101" s="45">
        <v>-0.02436</v>
      </c>
      <c r="F101" s="44">
        <v>1388.728</v>
      </c>
      <c r="G101" s="43">
        <v>51.78</v>
      </c>
      <c r="H101" s="44" cm="1">
        <f t="array" ref="H101">D101-D100</f>
        <v>5.7</v>
      </c>
      <c r="I101" s="44" cm="1">
        <f t="array" ref="I101">MAX(H101,0)</f>
        <v>5.7</v>
      </c>
      <c r="J101" s="44" cm="1">
        <f t="array" ref="J101">MAX(-H101,0)</f>
        <v>0</v>
      </c>
      <c r="K101" s="45" cm="1">
        <f t="array" ref="K101">D101/D81-1</f>
        <v>-0.0243601827013703</v>
      </c>
      <c r="L101" s="45" cm="1">
        <f t="array" ref="L101">K101-E101</f>
        <v>-1.827013703e-07</v>
      </c>
      <c r="M101" s="44" cm="1">
        <f t="array" ref="M101">AVERAGE(D52:D101)</f>
        <v>1388.728</v>
      </c>
      <c r="N101" s="44" cm="1">
        <f t="array" ref="N101">M101-F101</f>
        <v>0</v>
      </c>
      <c r="O101" s="43" cm="1">
        <f t="array" ref="O101">IF(AVERAGE(J88:J101)=0,100,100-100/(1+AVERAGE(I88:I101)/AVERAGE(J88:J101)))</f>
        <v>51.7846693973084</v>
      </c>
      <c r="P101" s="44" cm="1">
        <f t="array" ref="P101">O101-G101</f>
        <v>0.0046693973084</v>
      </c>
    </row>
    <row r="102" ht="13.55" customHeight="1">
      <c r="A102" s="46"/>
      <c r="B102" s="46"/>
      <c r="C102" s="46"/>
      <c r="D102" s="46"/>
      <c r="E102" s="46"/>
      <c r="F102" s="46"/>
      <c r="G102" s="46"/>
      <c r="H102" s="46"/>
      <c r="I102" s="46"/>
      <c r="J102" s="46"/>
      <c r="K102" s="46"/>
      <c r="L102" s="46"/>
      <c r="M102" s="46"/>
      <c r="N102" s="46"/>
      <c r="O102" s="46"/>
      <c r="P102" s="46"/>
    </row>
    <row r="103" ht="13.65" customHeight="1">
      <c r="A103" t="s" s="42">
        <v>162</v>
      </c>
      <c r="B103" s="46"/>
      <c r="C103" t="s" s="47">
        <v>163</v>
      </c>
      <c r="D103" t="s" s="47">
        <v>164</v>
      </c>
      <c r="E103" t="s" s="47">
        <v>165</v>
      </c>
      <c r="F103" s="46"/>
      <c r="G103" s="46"/>
      <c r="H103" s="46"/>
      <c r="I103" s="46"/>
      <c r="J103" s="46"/>
      <c r="K103" s="46"/>
      <c r="L103" s="46"/>
      <c r="M103" s="46"/>
      <c r="N103" s="46"/>
      <c r="O103" s="46"/>
      <c r="P103" s="46"/>
    </row>
    <row r="104" ht="13.65" customHeight="1">
      <c r="A104" t="s" s="42">
        <v>166</v>
      </c>
      <c r="B104" s="46"/>
      <c r="C104" s="45" cm="1">
        <f t="array" ref="C104">MAX(MAX(L22:L101),-MIN(L22:L101))</f>
        <v>4.95412844e-07</v>
      </c>
      <c r="D104" t="s" s="42">
        <v>167</v>
      </c>
      <c r="E104" t="str" s="48" cm="1">
        <f t="array" ref="E104">IF(C104&lt;0.0001,"PASS","CHECK")</f>
        <v>PASS</v>
      </c>
      <c r="F104" s="46"/>
      <c r="G104" s="46"/>
      <c r="H104" s="46"/>
      <c r="I104" s="46"/>
      <c r="J104" s="46"/>
      <c r="K104" s="46"/>
      <c r="L104" s="46"/>
      <c r="M104" s="46"/>
      <c r="N104" s="46"/>
      <c r="O104" s="46"/>
      <c r="P104" s="46"/>
    </row>
    <row r="105" ht="13.65" customHeight="1">
      <c r="A105" t="s" s="42">
        <v>169</v>
      </c>
      <c r="B105" s="46"/>
      <c r="C105" s="44" cm="1">
        <f t="array" ref="C105">MAX(MAX(N51:N101),-MIN(N51:N101))</f>
        <v>5e-05</v>
      </c>
      <c r="D105" t="s" s="42">
        <v>170</v>
      </c>
      <c r="E105" t="str" s="48" cm="1">
        <f t="array" ref="E105">IF(C105&lt;0.01,"PASS","CHECK")</f>
        <v>PASS</v>
      </c>
      <c r="F105" s="46"/>
      <c r="G105" s="46"/>
      <c r="H105" s="46"/>
      <c r="I105" s="46"/>
      <c r="J105" s="46"/>
      <c r="K105" s="46"/>
      <c r="L105" s="46"/>
      <c r="M105" s="46"/>
      <c r="N105" s="46"/>
      <c r="O105" s="46"/>
      <c r="P105" s="46"/>
    </row>
    <row r="106" ht="13.65" customHeight="1">
      <c r="A106" t="s" s="42">
        <v>171</v>
      </c>
      <c r="B106" s="46"/>
      <c r="C106" s="44" cm="1">
        <f t="array" ref="C106">MAX(MAX(P16:P101),-MIN(P16:P101))</f>
        <v>0.0049977983267</v>
      </c>
      <c r="D106" t="s" s="42">
        <v>172</v>
      </c>
      <c r="E106" t="str" s="48" cm="1">
        <f t="array" ref="E106">IF(C106&lt;0.1,"PASS","CHECK")</f>
        <v>PASS</v>
      </c>
      <c r="F106" s="46"/>
      <c r="G106" s="46"/>
      <c r="H106" s="46"/>
      <c r="I106" s="46"/>
      <c r="J106" s="46"/>
      <c r="K106" s="46"/>
      <c r="L106" s="46"/>
      <c r="M106" s="46"/>
      <c r="N106" s="46"/>
      <c r="O106" s="46"/>
      <c r="P106" s="46"/>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2:E1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49" customWidth="1"/>
    <col min="6" max="16384" width="16.3516" style="49" customWidth="1"/>
  </cols>
  <sheetData>
    <row r="1" ht="27.65" customHeight="1">
      <c r="A1" t="s" s="7">
        <v>47</v>
      </c>
      <c r="B1" s="7"/>
      <c r="C1" s="7"/>
      <c r="D1" s="7"/>
      <c r="E1" s="7"/>
    </row>
    <row r="2" ht="20.25" customHeight="1">
      <c r="A2" s="27"/>
      <c r="B2" s="27"/>
      <c r="C2" s="27"/>
      <c r="D2" s="27"/>
      <c r="E2" s="27"/>
    </row>
    <row r="3" ht="20.25" customHeight="1">
      <c r="A3" s="28"/>
      <c r="B3" s="29"/>
      <c r="C3" s="30"/>
      <c r="D3" s="30"/>
      <c r="E3" s="30"/>
    </row>
    <row r="4" ht="20.05" customHeight="1">
      <c r="A4" s="31"/>
      <c r="B4" s="32"/>
      <c r="C4" s="33"/>
      <c r="D4" s="33"/>
      <c r="E4" s="33"/>
    </row>
    <row r="5" ht="20.05" customHeight="1">
      <c r="A5" s="31"/>
      <c r="B5" s="32"/>
      <c r="C5" s="33"/>
      <c r="D5" s="33"/>
      <c r="E5" s="33"/>
    </row>
    <row r="6" ht="20.05" customHeight="1">
      <c r="A6" s="31"/>
      <c r="B6" s="32"/>
      <c r="C6" s="33"/>
      <c r="D6" s="33"/>
      <c r="E6" s="33"/>
    </row>
    <row r="7" ht="20.05" customHeight="1">
      <c r="A7" s="31"/>
      <c r="B7" s="32"/>
      <c r="C7" s="33"/>
      <c r="D7" s="33"/>
      <c r="E7" s="33"/>
    </row>
    <row r="8" ht="20.05" customHeight="1">
      <c r="A8" s="31"/>
      <c r="B8" s="32"/>
      <c r="C8" s="33"/>
      <c r="D8" s="33"/>
      <c r="E8" s="33"/>
    </row>
    <row r="9" ht="20.05" customHeight="1">
      <c r="A9" s="31"/>
      <c r="B9" s="32"/>
      <c r="C9" s="33"/>
      <c r="D9" s="33"/>
      <c r="E9" s="33"/>
    </row>
    <row r="10" ht="20.05" customHeight="1">
      <c r="A10" s="31"/>
      <c r="B10" s="32"/>
      <c r="C10" s="33"/>
      <c r="D10" s="33"/>
      <c r="E10" s="33"/>
    </row>
    <row r="11" ht="20.05" customHeight="1">
      <c r="A11" s="31"/>
      <c r="B11" s="32"/>
      <c r="C11" s="33"/>
      <c r="D11" s="33"/>
      <c r="E11" s="33"/>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P107"/>
  <sheetViews>
    <sheetView workbookViewId="0" showGridLines="0" defaultGridColor="1"/>
  </sheetViews>
  <sheetFormatPr defaultColWidth="8.66667" defaultRowHeight="15.4" customHeight="1" outlineLevelRow="0" outlineLevelCol="0"/>
  <cols>
    <col min="1" max="1" width="14" style="50" customWidth="1"/>
    <col min="2" max="2" width="12" style="50" customWidth="1"/>
    <col min="3" max="3" width="10" style="50" customWidth="1"/>
    <col min="4" max="4" width="11" style="50" customWidth="1"/>
    <col min="5" max="5" width="13" style="50" customWidth="1"/>
    <col min="6" max="6" width="11" style="50" customWidth="1"/>
    <col min="7" max="7" width="8" style="50" customWidth="1"/>
    <col min="8" max="8" width="10" style="50" customWidth="1"/>
    <col min="9" max="10" width="9" style="50" customWidth="1"/>
    <col min="11" max="13" width="11" style="50" customWidth="1"/>
    <col min="14" max="16" width="10" style="50" customWidth="1"/>
    <col min="17" max="16384" width="8.67188" style="50" customWidth="1"/>
  </cols>
  <sheetData>
    <row r="1" ht="13.65" customHeight="1">
      <c r="A1" t="s" s="35">
        <v>8</v>
      </c>
      <c r="B1" t="s" s="36">
        <v>10</v>
      </c>
      <c r="C1" t="s" s="36">
        <v>14</v>
      </c>
      <c r="D1" t="s" s="36">
        <v>15</v>
      </c>
      <c r="E1" t="s" s="36">
        <v>51</v>
      </c>
      <c r="F1" t="s" s="36">
        <v>52</v>
      </c>
      <c r="G1" t="s" s="36">
        <v>53</v>
      </c>
      <c r="H1" t="s" s="36">
        <v>54</v>
      </c>
      <c r="I1" t="s" s="36">
        <v>55</v>
      </c>
      <c r="J1" t="s" s="36">
        <v>56</v>
      </c>
      <c r="K1" t="s" s="36">
        <v>57</v>
      </c>
      <c r="L1" t="s" s="36">
        <v>58</v>
      </c>
      <c r="M1" t="s" s="36">
        <v>59</v>
      </c>
      <c r="N1" t="s" s="36">
        <v>60</v>
      </c>
      <c r="O1" t="s" s="36">
        <v>61</v>
      </c>
      <c r="P1" t="s" s="37">
        <v>62</v>
      </c>
    </row>
    <row r="2" ht="13.65" customHeight="1">
      <c r="A2" t="s" s="38">
        <v>35</v>
      </c>
      <c r="B2" t="s" s="38">
        <v>63</v>
      </c>
      <c r="C2" s="39">
        <v>13010</v>
      </c>
      <c r="D2" s="40">
        <v>12880.6387</v>
      </c>
      <c r="E2" s="41">
        <v>-0.024518</v>
      </c>
      <c r="F2" s="40">
        <v>13007.7228</v>
      </c>
      <c r="G2" s="39">
        <v>42.1</v>
      </c>
      <c r="H2" s="40"/>
      <c r="I2" s="40"/>
      <c r="J2" s="40"/>
      <c r="K2" s="41"/>
      <c r="L2" s="41"/>
      <c r="M2" s="40"/>
      <c r="N2" s="40"/>
      <c r="O2" s="39"/>
      <c r="P2" s="40"/>
    </row>
    <row r="3" ht="13.65" customHeight="1">
      <c r="A3" t="s" s="42">
        <v>35</v>
      </c>
      <c r="B3" t="s" s="42">
        <v>64</v>
      </c>
      <c r="C3" s="43">
        <v>12987</v>
      </c>
      <c r="D3" s="44">
        <v>12857.8682</v>
      </c>
      <c r="E3" s="45">
        <v>-0.013146</v>
      </c>
      <c r="F3" s="44">
        <v>12984.5159</v>
      </c>
      <c r="G3" s="43">
        <v>32.36</v>
      </c>
      <c r="H3" s="44" cm="1">
        <f t="array" ref="H3">D3-D2</f>
        <v>-22.7705</v>
      </c>
      <c r="I3" s="44" cm="1">
        <f t="array" ref="I3">MAX(H3,0)</f>
        <v>0</v>
      </c>
      <c r="J3" s="44" cm="1">
        <f t="array" ref="J3">MAX(-H3,0)</f>
        <v>22.7705</v>
      </c>
      <c r="K3" s="45"/>
      <c r="L3" s="45"/>
      <c r="M3" s="44"/>
      <c r="N3" s="44"/>
      <c r="O3" s="43"/>
      <c r="P3" s="44"/>
    </row>
    <row r="4" ht="13.65" customHeight="1">
      <c r="A4" t="s" s="42">
        <v>35</v>
      </c>
      <c r="B4" t="s" s="42">
        <v>65</v>
      </c>
      <c r="C4" s="43">
        <v>13170</v>
      </c>
      <c r="D4" s="44">
        <v>13039.0479</v>
      </c>
      <c r="E4" s="45">
        <v>0.009350000000000001</v>
      </c>
      <c r="F4" s="44">
        <v>12977.8231</v>
      </c>
      <c r="G4" s="43">
        <v>42.51</v>
      </c>
      <c r="H4" s="44" cm="1">
        <f t="array" ref="H4">D4-D3</f>
        <v>181.1797</v>
      </c>
      <c r="I4" s="44" cm="1">
        <f t="array" ref="I4">MAX(H4,0)</f>
        <v>181.1797</v>
      </c>
      <c r="J4" s="44" cm="1">
        <f t="array" ref="J4">MAX(-H4,0)</f>
        <v>0</v>
      </c>
      <c r="K4" s="45"/>
      <c r="L4" s="45"/>
      <c r="M4" s="44"/>
      <c r="N4" s="44"/>
      <c r="O4" s="43"/>
      <c r="P4" s="44"/>
    </row>
    <row r="5" ht="13.65" customHeight="1">
      <c r="A5" t="s" s="42">
        <v>35</v>
      </c>
      <c r="B5" t="s" s="42">
        <v>66</v>
      </c>
      <c r="C5" s="43">
        <v>13208</v>
      </c>
      <c r="D5" s="44">
        <v>13076.6699</v>
      </c>
      <c r="E5" s="45">
        <v>-0.001059</v>
      </c>
      <c r="F5" s="44">
        <v>12964.7741</v>
      </c>
      <c r="G5" s="43">
        <v>32.3</v>
      </c>
      <c r="H5" s="44" cm="1">
        <f t="array" ref="H5">D5-D4</f>
        <v>37.622</v>
      </c>
      <c r="I5" s="44" cm="1">
        <f t="array" ref="I5">MAX(H5,0)</f>
        <v>37.622</v>
      </c>
      <c r="J5" s="44" cm="1">
        <f t="array" ref="J5">MAX(-H5,0)</f>
        <v>0</v>
      </c>
      <c r="K5" s="45"/>
      <c r="L5" s="45"/>
      <c r="M5" s="44"/>
      <c r="N5" s="44"/>
      <c r="O5" s="43"/>
      <c r="P5" s="44"/>
    </row>
    <row r="6" ht="13.65" customHeight="1">
      <c r="A6" t="s" s="42">
        <v>35</v>
      </c>
      <c r="B6" t="s" s="42">
        <v>67</v>
      </c>
      <c r="C6" s="43">
        <v>13364</v>
      </c>
      <c r="D6" s="44">
        <v>13231.1191</v>
      </c>
      <c r="E6" s="45">
        <v>0.036612</v>
      </c>
      <c r="F6" s="44">
        <v>12962.1405</v>
      </c>
      <c r="G6" s="43">
        <v>36.99</v>
      </c>
      <c r="H6" s="44" cm="1">
        <f t="array" ref="H6">D6-D5</f>
        <v>154.4492</v>
      </c>
      <c r="I6" s="44" cm="1">
        <f t="array" ref="I6">MAX(H6,0)</f>
        <v>154.4492</v>
      </c>
      <c r="J6" s="44" cm="1">
        <f t="array" ref="J6">MAX(-H6,0)</f>
        <v>0</v>
      </c>
      <c r="K6" s="45"/>
      <c r="L6" s="45"/>
      <c r="M6" s="44"/>
      <c r="N6" s="44"/>
      <c r="O6" s="43"/>
      <c r="P6" s="44"/>
    </row>
    <row r="7" ht="13.65" customHeight="1">
      <c r="A7" t="s" s="42">
        <v>35</v>
      </c>
      <c r="B7" t="s" s="42">
        <v>68</v>
      </c>
      <c r="C7" s="43">
        <v>13127</v>
      </c>
      <c r="D7" s="44">
        <v>12996.4756</v>
      </c>
      <c r="E7" s="45">
        <v>-0.009806</v>
      </c>
      <c r="F7" s="44">
        <v>12964.4375</v>
      </c>
      <c r="G7" s="43">
        <v>32.91</v>
      </c>
      <c r="H7" s="44" cm="1">
        <f t="array" ref="H7">D7-D6</f>
        <v>-234.6435</v>
      </c>
      <c r="I7" s="44" cm="1">
        <f t="array" ref="I7">MAX(H7,0)</f>
        <v>0</v>
      </c>
      <c r="J7" s="44" cm="1">
        <f t="array" ref="J7">MAX(-H7,0)</f>
        <v>234.6435</v>
      </c>
      <c r="K7" s="45"/>
      <c r="L7" s="45"/>
      <c r="M7" s="44"/>
      <c r="N7" s="44"/>
      <c r="O7" s="43"/>
      <c r="P7" s="44"/>
    </row>
    <row r="8" ht="13.65" customHeight="1">
      <c r="A8" t="s" s="42">
        <v>35</v>
      </c>
      <c r="B8" t="s" s="42">
        <v>69</v>
      </c>
      <c r="C8" s="43">
        <v>12946</v>
      </c>
      <c r="D8" s="44">
        <v>12817.2754</v>
      </c>
      <c r="E8" s="45">
        <v>-0.02764</v>
      </c>
      <c r="F8" s="44">
        <v>12971.4669</v>
      </c>
      <c r="G8" s="43">
        <v>34.12</v>
      </c>
      <c r="H8" s="44" cm="1">
        <f t="array" ref="H8">D8-D7</f>
        <v>-179.2002</v>
      </c>
      <c r="I8" s="44" cm="1">
        <f t="array" ref="I8">MAX(H8,0)</f>
        <v>0</v>
      </c>
      <c r="J8" s="44" cm="1">
        <f t="array" ref="J8">MAX(-H8,0)</f>
        <v>179.2002</v>
      </c>
      <c r="K8" s="45"/>
      <c r="L8" s="45"/>
      <c r="M8" s="44"/>
      <c r="N8" s="44"/>
      <c r="O8" s="43"/>
      <c r="P8" s="44"/>
    </row>
    <row r="9" ht="13.65" customHeight="1">
      <c r="A9" t="s" s="42">
        <v>35</v>
      </c>
      <c r="B9" t="s" s="42">
        <v>70</v>
      </c>
      <c r="C9" s="43">
        <v>13022</v>
      </c>
      <c r="D9" s="44">
        <v>12892.5195</v>
      </c>
      <c r="E9" s="45">
        <v>-0.04109</v>
      </c>
      <c r="F9" s="44">
        <v>12976.7142</v>
      </c>
      <c r="G9" s="43">
        <v>44.85</v>
      </c>
      <c r="H9" s="44" cm="1">
        <f t="array" ref="H9">D9-D8</f>
        <v>75.2441</v>
      </c>
      <c r="I9" s="44" cm="1">
        <f t="array" ref="I9">MAX(H9,0)</f>
        <v>75.2441</v>
      </c>
      <c r="J9" s="44" cm="1">
        <f t="array" ref="J9">MAX(-H9,0)</f>
        <v>0</v>
      </c>
      <c r="K9" s="45"/>
      <c r="L9" s="45"/>
      <c r="M9" s="44"/>
      <c r="N9" s="44"/>
      <c r="O9" s="43"/>
      <c r="P9" s="44"/>
    </row>
    <row r="10" ht="13.65" customHeight="1">
      <c r="A10" t="s" s="42">
        <v>35</v>
      </c>
      <c r="B10" t="s" s="42">
        <v>71</v>
      </c>
      <c r="C10" s="43">
        <v>13044</v>
      </c>
      <c r="D10" s="44">
        <v>12914.3008</v>
      </c>
      <c r="E10" s="45">
        <v>-0.028452</v>
      </c>
      <c r="F10" s="44">
        <v>12978.1399</v>
      </c>
      <c r="G10" s="43">
        <v>47.91</v>
      </c>
      <c r="H10" s="44" cm="1">
        <f t="array" ref="H10">D10-D9</f>
        <v>21.7813</v>
      </c>
      <c r="I10" s="44" cm="1">
        <f t="array" ref="I10">MAX(H10,0)</f>
        <v>21.7813</v>
      </c>
      <c r="J10" s="44" cm="1">
        <f t="array" ref="J10">MAX(-H10,0)</f>
        <v>0</v>
      </c>
      <c r="K10" s="45"/>
      <c r="L10" s="45"/>
      <c r="M10" s="44"/>
      <c r="N10" s="44"/>
      <c r="O10" s="43"/>
      <c r="P10" s="44"/>
    </row>
    <row r="11" ht="13.65" customHeight="1">
      <c r="A11" t="s" s="42">
        <v>35</v>
      </c>
      <c r="B11" t="s" s="42">
        <v>72</v>
      </c>
      <c r="C11" s="43">
        <v>13064</v>
      </c>
      <c r="D11" s="44">
        <v>12934.1025</v>
      </c>
      <c r="E11" s="45">
        <v>-0.047952</v>
      </c>
      <c r="F11" s="44">
        <v>12978.4567</v>
      </c>
      <c r="G11" s="43">
        <v>49.61</v>
      </c>
      <c r="H11" s="44" cm="1">
        <f t="array" ref="H11">D11-D10</f>
        <v>19.8017</v>
      </c>
      <c r="I11" s="44" cm="1">
        <f t="array" ref="I11">MAX(H11,0)</f>
        <v>19.8017</v>
      </c>
      <c r="J11" s="44" cm="1">
        <f t="array" ref="J11">MAX(-H11,0)</f>
        <v>0</v>
      </c>
      <c r="K11" s="45"/>
      <c r="L11" s="45"/>
      <c r="M11" s="44"/>
      <c r="N11" s="44"/>
      <c r="O11" s="43"/>
      <c r="P11" s="44"/>
    </row>
    <row r="12" ht="13.65" customHeight="1">
      <c r="A12" t="s" s="42">
        <v>35</v>
      </c>
      <c r="B12" t="s" s="42">
        <v>29</v>
      </c>
      <c r="C12" s="43">
        <v>13050</v>
      </c>
      <c r="D12" s="44">
        <v>12920.2412</v>
      </c>
      <c r="E12" s="45">
        <v>-0.052288</v>
      </c>
      <c r="F12" s="44">
        <v>12987.387</v>
      </c>
      <c r="G12" s="43">
        <v>43.26</v>
      </c>
      <c r="H12" s="44" cm="1">
        <f t="array" ref="H12">D12-D11</f>
        <v>-13.8613</v>
      </c>
      <c r="I12" s="44" cm="1">
        <f t="array" ref="I12">MAX(H12,0)</f>
        <v>0</v>
      </c>
      <c r="J12" s="44" cm="1">
        <f t="array" ref="J12">MAX(-H12,0)</f>
        <v>13.8613</v>
      </c>
      <c r="K12" s="45"/>
      <c r="L12" s="45"/>
      <c r="M12" s="44"/>
      <c r="N12" s="44"/>
      <c r="O12" s="43"/>
      <c r="P12" s="44"/>
    </row>
    <row r="13" ht="13.65" customHeight="1">
      <c r="A13" t="s" s="42">
        <v>35</v>
      </c>
      <c r="B13" t="s" s="42">
        <v>73</v>
      </c>
      <c r="C13" s="43">
        <v>12912</v>
      </c>
      <c r="D13" s="44">
        <v>12783.6133</v>
      </c>
      <c r="E13" s="45">
        <v>-0.059304</v>
      </c>
      <c r="F13" s="44">
        <v>12993.5451</v>
      </c>
      <c r="G13" s="43">
        <v>45.67</v>
      </c>
      <c r="H13" s="44" cm="1">
        <f t="array" ref="H13">D13-D12</f>
        <v>-136.6279</v>
      </c>
      <c r="I13" s="44" cm="1">
        <f t="array" ref="I13">MAX(H13,0)</f>
        <v>0</v>
      </c>
      <c r="J13" s="44" cm="1">
        <f t="array" ref="J13">MAX(-H13,0)</f>
        <v>136.6279</v>
      </c>
      <c r="K13" s="45"/>
      <c r="L13" s="45"/>
      <c r="M13" s="44"/>
      <c r="N13" s="44"/>
      <c r="O13" s="43"/>
      <c r="P13" s="44"/>
    </row>
    <row r="14" ht="13.65" customHeight="1">
      <c r="A14" t="s" s="42">
        <v>35</v>
      </c>
      <c r="B14" t="s" s="42">
        <v>74</v>
      </c>
      <c r="C14" s="43">
        <v>13120</v>
      </c>
      <c r="D14" s="44">
        <v>12989.5449</v>
      </c>
      <c r="E14" s="45">
        <v>-0.026923</v>
      </c>
      <c r="F14" s="44">
        <v>13008.693</v>
      </c>
      <c r="G14" s="43">
        <v>56.07</v>
      </c>
      <c r="H14" s="44" cm="1">
        <f t="array" ref="H14">D14-D13</f>
        <v>205.9316</v>
      </c>
      <c r="I14" s="44" cm="1">
        <f t="array" ref="I14">MAX(H14,0)</f>
        <v>205.9316</v>
      </c>
      <c r="J14" s="44" cm="1">
        <f t="array" ref="J14">MAX(-H14,0)</f>
        <v>0</v>
      </c>
      <c r="K14" s="45"/>
      <c r="L14" s="45"/>
      <c r="M14" s="44"/>
      <c r="N14" s="44"/>
      <c r="O14" s="43"/>
      <c r="P14" s="44"/>
    </row>
    <row r="15" ht="13.65" customHeight="1">
      <c r="A15" t="s" s="42">
        <v>35</v>
      </c>
      <c r="B15" t="s" s="42">
        <v>75</v>
      </c>
      <c r="C15" s="43">
        <v>13073</v>
      </c>
      <c r="D15" s="44">
        <v>12943.0127</v>
      </c>
      <c r="E15" s="45">
        <v>-0.007516</v>
      </c>
      <c r="F15" s="44">
        <v>13020.7519</v>
      </c>
      <c r="G15" s="43">
        <v>52.59</v>
      </c>
      <c r="H15" s="44" cm="1">
        <f t="array" ref="H15">D15-D14</f>
        <v>-46.5322</v>
      </c>
      <c r="I15" s="44" cm="1">
        <f t="array" ref="I15">MAX(H15,0)</f>
        <v>0</v>
      </c>
      <c r="J15" s="44" cm="1">
        <f t="array" ref="J15">MAX(-H15,0)</f>
        <v>46.5322</v>
      </c>
      <c r="K15" s="45"/>
      <c r="L15" s="45"/>
      <c r="M15" s="44"/>
      <c r="N15" s="44"/>
      <c r="O15" s="43"/>
      <c r="P15" s="44"/>
    </row>
    <row r="16" ht="13.65" customHeight="1">
      <c r="A16" t="s" s="42">
        <v>35</v>
      </c>
      <c r="B16" t="s" s="42">
        <v>76</v>
      </c>
      <c r="C16" s="43">
        <v>13098</v>
      </c>
      <c r="D16" s="44">
        <v>12967.7637</v>
      </c>
      <c r="E16" s="45">
        <v>-0.000382</v>
      </c>
      <c r="F16" s="44">
        <v>13028.4149</v>
      </c>
      <c r="G16" s="43">
        <v>53.22</v>
      </c>
      <c r="H16" s="44" cm="1">
        <f t="array" ref="H16">D16-D15</f>
        <v>24.751</v>
      </c>
      <c r="I16" s="44" cm="1">
        <f t="array" ref="I16">MAX(H16,0)</f>
        <v>24.751</v>
      </c>
      <c r="J16" s="44" cm="1">
        <f t="array" ref="J16">MAX(-H16,0)</f>
        <v>0</v>
      </c>
      <c r="K16" s="45"/>
      <c r="L16" s="45"/>
      <c r="M16" s="44"/>
      <c r="N16" s="44"/>
      <c r="O16" s="43" cm="1">
        <f t="array" ref="O16">IF(AVERAGE(J3:J16)=0,100,100-100/(1+AVERAGE(I3:I16)/AVERAGE(J3:J16)))</f>
        <v>53.2163778959214</v>
      </c>
      <c r="P16" s="44" cm="1">
        <f t="array" ref="P16">O16-G16</f>
        <v>-0.0036221040786</v>
      </c>
    </row>
    <row r="17" ht="13.65" customHeight="1">
      <c r="A17" t="s" s="42">
        <v>35</v>
      </c>
      <c r="B17" t="s" s="42">
        <v>77</v>
      </c>
      <c r="C17" s="43">
        <v>13366</v>
      </c>
      <c r="D17" s="44">
        <v>13233.0996</v>
      </c>
      <c r="E17" s="45">
        <v>0.022256</v>
      </c>
      <c r="F17" s="44">
        <v>13047.7606</v>
      </c>
      <c r="G17" s="43">
        <v>61.75</v>
      </c>
      <c r="H17" s="44" cm="1">
        <f t="array" ref="H17">D17-D16</f>
        <v>265.3359</v>
      </c>
      <c r="I17" s="44" cm="1">
        <f t="array" ref="I17">MAX(H17,0)</f>
        <v>265.3359</v>
      </c>
      <c r="J17" s="44" cm="1">
        <f t="array" ref="J17">MAX(-H17,0)</f>
        <v>0</v>
      </c>
      <c r="K17" s="45"/>
      <c r="L17" s="45"/>
      <c r="M17" s="44"/>
      <c r="N17" s="44"/>
      <c r="O17" s="43" cm="1">
        <f t="array" ref="O17">IF(AVERAGE(J4:J17)=0,100,100-100/(1+AVERAGE(I4:I17)/AVERAGE(J4:J17)))</f>
        <v>61.7482912550934</v>
      </c>
      <c r="P17" s="44" cm="1">
        <f t="array" ref="P17">O17-G17</f>
        <v>-0.0017087449066</v>
      </c>
    </row>
    <row r="18" ht="13.65" customHeight="1">
      <c r="A18" t="s" s="42">
        <v>35</v>
      </c>
      <c r="B18" t="s" s="42">
        <v>78</v>
      </c>
      <c r="C18" s="43">
        <v>13805</v>
      </c>
      <c r="D18" s="44">
        <v>13667.7344</v>
      </c>
      <c r="E18" s="45">
        <v>0.044172</v>
      </c>
      <c r="F18" s="44">
        <v>13077.4425</v>
      </c>
      <c r="G18" s="43">
        <v>66.98999999999999</v>
      </c>
      <c r="H18" s="44" cm="1">
        <f t="array" ref="H18">D18-D17</f>
        <v>434.6348</v>
      </c>
      <c r="I18" s="44" cm="1">
        <f t="array" ref="I18">MAX(H18,0)</f>
        <v>434.6348</v>
      </c>
      <c r="J18" s="44" cm="1">
        <f t="array" ref="J18">MAX(-H18,0)</f>
        <v>0</v>
      </c>
      <c r="K18" s="45"/>
      <c r="L18" s="45"/>
      <c r="M18" s="44"/>
      <c r="N18" s="44"/>
      <c r="O18" s="43" cm="1">
        <f t="array" ref="O18">IF(AVERAGE(J5:J18)=0,100,100-100/(1+AVERAGE(I5:I18)/AVERAGE(J5:J18)))</f>
        <v>66.9877006622346</v>
      </c>
      <c r="P18" s="44" cm="1">
        <f t="array" ref="P18">O18-G18</f>
        <v>-0.0022993377654</v>
      </c>
    </row>
    <row r="19" ht="13.65" customHeight="1">
      <c r="A19" t="s" s="42">
        <v>35</v>
      </c>
      <c r="B19" t="s" s="42">
        <v>79</v>
      </c>
      <c r="C19" s="43">
        <v>13691</v>
      </c>
      <c r="D19" s="44">
        <v>13554.8682</v>
      </c>
      <c r="E19" s="45">
        <v>0.051859</v>
      </c>
      <c r="F19" s="44">
        <v>13100.8475</v>
      </c>
      <c r="G19" s="43">
        <v>62.42</v>
      </c>
      <c r="H19" s="44" cm="1">
        <f t="array" ref="H19">D19-D18</f>
        <v>-112.8662</v>
      </c>
      <c r="I19" s="44" cm="1">
        <f t="array" ref="I19">MAX(H19,0)</f>
        <v>0</v>
      </c>
      <c r="J19" s="44" cm="1">
        <f t="array" ref="J19">MAX(-H19,0)</f>
        <v>112.8662</v>
      </c>
      <c r="K19" s="45"/>
      <c r="L19" s="45"/>
      <c r="M19" s="44"/>
      <c r="N19" s="44"/>
      <c r="O19" s="43" cm="1">
        <f t="array" ref="O19">IF(AVERAGE(J6:J19)=0,100,100-100/(1+AVERAGE(I6:I19)/AVERAGE(J6:J19)))</f>
        <v>62.4164721836539</v>
      </c>
      <c r="P19" s="44" cm="1">
        <f t="array" ref="P19">O19-G19</f>
        <v>-0.0035278163461</v>
      </c>
    </row>
    <row r="20" ht="13.65" customHeight="1">
      <c r="A20" t="s" s="42">
        <v>35</v>
      </c>
      <c r="B20" t="s" s="42">
        <v>80</v>
      </c>
      <c r="C20" s="43">
        <v>13630</v>
      </c>
      <c r="D20" s="44">
        <v>13494.4746</v>
      </c>
      <c r="E20" s="45">
        <v>0.052022</v>
      </c>
      <c r="F20" s="44">
        <v>13120.6288</v>
      </c>
      <c r="G20" s="43">
        <v>57.19</v>
      </c>
      <c r="H20" s="44" cm="1">
        <f t="array" ref="H20">D20-D19</f>
        <v>-60.3936</v>
      </c>
      <c r="I20" s="44" cm="1">
        <f t="array" ref="I20">MAX(H20,0)</f>
        <v>0</v>
      </c>
      <c r="J20" s="44" cm="1">
        <f t="array" ref="J20">MAX(-H20,0)</f>
        <v>60.3936</v>
      </c>
      <c r="K20" s="45"/>
      <c r="L20" s="45"/>
      <c r="M20" s="44"/>
      <c r="N20" s="44"/>
      <c r="O20" s="43" cm="1">
        <f t="array" ref="O20">IF(AVERAGE(J7:J20)=0,100,100-100/(1+AVERAGE(I7:I20)/AVERAGE(J7:J20)))</f>
        <v>57.1891990048293</v>
      </c>
      <c r="P20" s="44" cm="1">
        <f t="array" ref="P20">O20-G20</f>
        <v>-0.0008009951707</v>
      </c>
    </row>
    <row r="21" ht="13.65" customHeight="1">
      <c r="A21" t="s" s="42">
        <v>35</v>
      </c>
      <c r="B21" t="s" s="42">
        <v>81</v>
      </c>
      <c r="C21" s="43">
        <v>13484</v>
      </c>
      <c r="D21" s="44">
        <v>13349.9258</v>
      </c>
      <c r="E21" s="45">
        <v>0.036991</v>
      </c>
      <c r="F21" s="44">
        <v>13136.3905</v>
      </c>
      <c r="G21" s="43">
        <v>60.15</v>
      </c>
      <c r="H21" s="44" cm="1">
        <f t="array" ref="H21">D21-D20</f>
        <v>-144.5488</v>
      </c>
      <c r="I21" s="44" cm="1">
        <f t="array" ref="I21">MAX(H21,0)</f>
        <v>0</v>
      </c>
      <c r="J21" s="44" cm="1">
        <f t="array" ref="J21">MAX(-H21,0)</f>
        <v>144.5488</v>
      </c>
      <c r="K21" s="45"/>
      <c r="L21" s="45"/>
      <c r="M21" s="44"/>
      <c r="N21" s="44"/>
      <c r="O21" s="43" cm="1">
        <f t="array" ref="O21">IF(AVERAGE(J8:J21)=0,100,100-100/(1+AVERAGE(I8:I21)/AVERAGE(J8:J21)))</f>
        <v>60.1478050147958</v>
      </c>
      <c r="P21" s="44" cm="1">
        <f t="array" ref="P21">O21-G21</f>
        <v>-0.0021949852042</v>
      </c>
    </row>
    <row r="22" ht="13.65" customHeight="1">
      <c r="A22" t="s" s="42">
        <v>35</v>
      </c>
      <c r="B22" t="s" s="42">
        <v>82</v>
      </c>
      <c r="C22" s="43">
        <v>13395</v>
      </c>
      <c r="D22" s="44">
        <v>13261.8105</v>
      </c>
      <c r="E22" s="45">
        <v>0.029593</v>
      </c>
      <c r="F22" s="44">
        <v>13148.2118</v>
      </c>
      <c r="G22" s="43">
        <v>63.47</v>
      </c>
      <c r="H22" s="44" cm="1">
        <f t="array" ref="H22">D22-D21</f>
        <v>-88.1153</v>
      </c>
      <c r="I22" s="44" cm="1">
        <f t="array" ref="I22">MAX(H22,0)</f>
        <v>0</v>
      </c>
      <c r="J22" s="44" cm="1">
        <f t="array" ref="J22">MAX(-H22,0)</f>
        <v>88.1153</v>
      </c>
      <c r="K22" s="45" cm="1">
        <f t="array" ref="K22">D22/D2-1</f>
        <v>0.0295926163971978</v>
      </c>
      <c r="L22" s="45" cm="1">
        <f t="array" ref="L22">K22-E22</f>
        <v>-3.836028022e-07</v>
      </c>
      <c r="M22" s="44"/>
      <c r="N22" s="44"/>
      <c r="O22" s="43" cm="1">
        <f t="array" ref="O22">IF(AVERAGE(J9:J22)=0,100,100-100/(1+AVERAGE(I9:I22)/AVERAGE(J9:J22)))</f>
        <v>63.4672860462607</v>
      </c>
      <c r="P22" s="44" cm="1">
        <f t="array" ref="P22">O22-G22</f>
        <v>-0.0027139537393</v>
      </c>
    </row>
    <row r="23" ht="13.65" customHeight="1">
      <c r="A23" t="s" s="42">
        <v>35</v>
      </c>
      <c r="B23" t="s" s="42">
        <v>83</v>
      </c>
      <c r="C23" s="43">
        <v>13421</v>
      </c>
      <c r="D23" s="44">
        <v>13287.5527</v>
      </c>
      <c r="E23" s="45">
        <v>0.033418</v>
      </c>
      <c r="F23" s="44">
        <v>13144.6278</v>
      </c>
      <c r="G23" s="43">
        <v>62.34</v>
      </c>
      <c r="H23" s="44" cm="1">
        <f t="array" ref="H23">D23-D22</f>
        <v>25.7422</v>
      </c>
      <c r="I23" s="44" cm="1">
        <f t="array" ref="I23">MAX(H23,0)</f>
        <v>25.7422</v>
      </c>
      <c r="J23" s="44" cm="1">
        <f t="array" ref="J23">MAX(-H23,0)</f>
        <v>0</v>
      </c>
      <c r="K23" s="45" cm="1">
        <f t="array" ref="K23">D23/D3-1</f>
        <v>0.0334180202593771</v>
      </c>
      <c r="L23" s="45" cm="1">
        <f t="array" ref="L23">K23-E23</f>
        <v>2.02593771e-08</v>
      </c>
      <c r="M23" s="44"/>
      <c r="N23" s="44"/>
      <c r="O23" s="43" cm="1">
        <f t="array" ref="O23">IF(AVERAGE(J10:J23)=0,100,100-100/(1+AVERAGE(I10:I23)/AVERAGE(J10:J23)))</f>
        <v>62.3376640412242</v>
      </c>
      <c r="P23" s="44" cm="1">
        <f t="array" ref="P23">O23-G23</f>
        <v>-0.0023359587758</v>
      </c>
    </row>
    <row r="24" ht="13.65" customHeight="1">
      <c r="A24" t="s" s="42">
        <v>35</v>
      </c>
      <c r="B24" t="s" s="42">
        <v>84</v>
      </c>
      <c r="C24" s="43">
        <v>13451</v>
      </c>
      <c r="D24" s="44">
        <v>13317.2539</v>
      </c>
      <c r="E24" s="45">
        <v>0.021336</v>
      </c>
      <c r="F24" s="44">
        <v>13141.8952</v>
      </c>
      <c r="G24" s="43">
        <v>62.52</v>
      </c>
      <c r="H24" s="44" cm="1">
        <f t="array" ref="H24">D24-D23</f>
        <v>29.7012</v>
      </c>
      <c r="I24" s="44" cm="1">
        <f t="array" ref="I24">MAX(H24,0)</f>
        <v>29.7012</v>
      </c>
      <c r="J24" s="44" cm="1">
        <f t="array" ref="J24">MAX(-H24,0)</f>
        <v>0</v>
      </c>
      <c r="K24" s="45" cm="1">
        <f t="array" ref="K24">D24/D4-1</f>
        <v>0.0213363738007282</v>
      </c>
      <c r="L24" s="45" cm="1">
        <f t="array" ref="L24">K24-E24</f>
        <v>3.738007282e-07</v>
      </c>
      <c r="M24" s="44"/>
      <c r="N24" s="44"/>
      <c r="O24" s="43" cm="1">
        <f t="array" ref="O24">IF(AVERAGE(J11:J24)=0,100,100-100/(1+AVERAGE(I11:I24)/AVERAGE(J11:J24)))</f>
        <v>62.5230654786416</v>
      </c>
      <c r="P24" s="44" cm="1">
        <f t="array" ref="P24">O24-G24</f>
        <v>0.0030654786416</v>
      </c>
    </row>
    <row r="25" ht="13.65" customHeight="1">
      <c r="A25" t="s" s="42">
        <v>35</v>
      </c>
      <c r="B25" t="s" s="42">
        <v>85</v>
      </c>
      <c r="C25" s="43">
        <v>13248</v>
      </c>
      <c r="D25" s="44">
        <v>13116.2725</v>
      </c>
      <c r="E25" s="45">
        <v>0.003028</v>
      </c>
      <c r="F25" s="44">
        <v>13132.7669</v>
      </c>
      <c r="G25" s="43">
        <v>55.09</v>
      </c>
      <c r="H25" s="44" cm="1">
        <f t="array" ref="H25">D25-D24</f>
        <v>-200.9814</v>
      </c>
      <c r="I25" s="44" cm="1">
        <f t="array" ref="I25">MAX(H25,0)</f>
        <v>0</v>
      </c>
      <c r="J25" s="44" cm="1">
        <f t="array" ref="J25">MAX(-H25,0)</f>
        <v>200.9814</v>
      </c>
      <c r="K25" s="45" cm="1">
        <f t="array" ref="K25">D25/D5-1</f>
        <v>0.00302849275104819</v>
      </c>
      <c r="L25" s="45" cm="1">
        <f t="array" ref="L25">K25-E25</f>
        <v>4.9275104819e-07</v>
      </c>
      <c r="M25" s="44"/>
      <c r="N25" s="44"/>
      <c r="O25" s="43" cm="1">
        <f t="array" ref="O25">IF(AVERAGE(J12:J25)=0,100,100-100/(1+AVERAGE(I12:I25)/AVERAGE(J12:J25)))</f>
        <v>55.0884809662265</v>
      </c>
      <c r="P25" s="44" cm="1">
        <f t="array" ref="P25">O25-G25</f>
        <v>-0.0015190337735</v>
      </c>
    </row>
    <row r="26" ht="13.65" customHeight="1">
      <c r="A26" t="s" s="42">
        <v>35</v>
      </c>
      <c r="B26" t="s" s="42">
        <v>86</v>
      </c>
      <c r="C26" s="43">
        <v>13745</v>
      </c>
      <c r="D26" s="44">
        <v>13608.3311</v>
      </c>
      <c r="E26" s="45">
        <v>0.028509</v>
      </c>
      <c r="F26" s="44">
        <v>13146.0139</v>
      </c>
      <c r="G26" s="43">
        <v>65.17</v>
      </c>
      <c r="H26" s="44" cm="1">
        <f t="array" ref="H26">D26-D25</f>
        <v>492.0586</v>
      </c>
      <c r="I26" s="44" cm="1">
        <f t="array" ref="I26">MAX(H26,0)</f>
        <v>492.0586</v>
      </c>
      <c r="J26" s="44" cm="1">
        <f t="array" ref="J26">MAX(-H26,0)</f>
        <v>0</v>
      </c>
      <c r="K26" s="45" cm="1">
        <f t="array" ref="K26">D26/D6-1</f>
        <v>0.0285094554095579</v>
      </c>
      <c r="L26" s="45" cm="1">
        <f t="array" ref="L26">K26-E26</f>
        <v>4.554095579e-07</v>
      </c>
      <c r="M26" s="44"/>
      <c r="N26" s="44"/>
      <c r="O26" s="43" cm="1">
        <f t="array" ref="O26">IF(AVERAGE(J13:J26)=0,100,100-100/(1+AVERAGE(I13:I26)/AVERAGE(J13:J26)))</f>
        <v>65.1680544137526</v>
      </c>
      <c r="P26" s="44" cm="1">
        <f t="array" ref="P26">O26-G26</f>
        <v>-0.0019455862474</v>
      </c>
    </row>
    <row r="27" ht="13.65" customHeight="1">
      <c r="A27" t="s" s="42">
        <v>35</v>
      </c>
      <c r="B27" t="s" s="42">
        <v>87</v>
      </c>
      <c r="C27" s="43">
        <v>13412</v>
      </c>
      <c r="D27" s="44">
        <v>13278.6416</v>
      </c>
      <c r="E27" s="45">
        <v>0.021711</v>
      </c>
      <c r="F27" s="44">
        <v>13148.4494</v>
      </c>
      <c r="G27" s="43">
        <v>60.06</v>
      </c>
      <c r="H27" s="44" cm="1">
        <f t="array" ref="H27">D27-D26</f>
        <v>-329.6895</v>
      </c>
      <c r="I27" s="44" cm="1">
        <f t="array" ref="I27">MAX(H27,0)</f>
        <v>0</v>
      </c>
      <c r="J27" s="44" cm="1">
        <f t="array" ref="J27">MAX(-H27,0)</f>
        <v>329.6895</v>
      </c>
      <c r="K27" s="45" cm="1">
        <f t="array" ref="K27">D27/D7-1</f>
        <v>0.0217109629321352</v>
      </c>
      <c r="L27" s="45" cm="1">
        <f t="array" ref="L27">K27-E27</f>
        <v>-3.70678648e-08</v>
      </c>
      <c r="M27" s="44"/>
      <c r="N27" s="44"/>
      <c r="O27" s="43" cm="1">
        <f t="array" ref="O27">IF(AVERAGE(J14:J27)=0,100,100-100/(1+AVERAGE(I14:I27)/AVERAGE(J14:J27)))</f>
        <v>60.0563088598167</v>
      </c>
      <c r="P27" s="44" cm="1">
        <f t="array" ref="P27">O27-G27</f>
        <v>-0.0036911401833</v>
      </c>
    </row>
    <row r="28" ht="13.65" customHeight="1">
      <c r="A28" t="s" s="42">
        <v>35</v>
      </c>
      <c r="B28" t="s" s="42">
        <v>88</v>
      </c>
      <c r="C28" s="43">
        <v>14115</v>
      </c>
      <c r="D28" s="44">
        <v>13974.6523</v>
      </c>
      <c r="E28" s="45">
        <v>0.090298</v>
      </c>
      <c r="F28" s="44">
        <v>13163.8943</v>
      </c>
      <c r="G28" s="43">
        <v>66.69</v>
      </c>
      <c r="H28" s="44" cm="1">
        <f t="array" ref="H28">D28-D27</f>
        <v>696.0107</v>
      </c>
      <c r="I28" s="44" cm="1">
        <f t="array" ref="I28">MAX(H28,0)</f>
        <v>696.0107</v>
      </c>
      <c r="J28" s="44" cm="1">
        <f t="array" ref="J28">MAX(-H28,0)</f>
        <v>0</v>
      </c>
      <c r="K28" s="45" cm="1">
        <f t="array" ref="K28">D28/D8-1</f>
        <v>0.0902982001931549</v>
      </c>
      <c r="L28" s="45" cm="1">
        <f t="array" ref="L28">K28-E28</f>
        <v>2.001931549e-07</v>
      </c>
      <c r="M28" s="44"/>
      <c r="N28" s="44"/>
      <c r="O28" s="43" cm="1">
        <f t="array" ref="O28">IF(AVERAGE(J15:J28)=0,100,100-100/(1+AVERAGE(I15:I28)/AVERAGE(J15:J28)))</f>
        <v>66.6890337455792</v>
      </c>
      <c r="P28" s="44" cm="1">
        <f t="array" ref="P28">O28-G28</f>
        <v>-0.0009662544208</v>
      </c>
    </row>
    <row r="29" ht="13.65" customHeight="1">
      <c r="A29" t="s" s="42">
        <v>35</v>
      </c>
      <c r="B29" t="s" s="42">
        <v>89</v>
      </c>
      <c r="C29" s="43">
        <v>14395</v>
      </c>
      <c r="D29" s="44">
        <v>14251.8682</v>
      </c>
      <c r="E29" s="45">
        <v>0.105437</v>
      </c>
      <c r="F29" s="44">
        <v>13182.547</v>
      </c>
      <c r="G29" s="43">
        <v>70.56999999999999</v>
      </c>
      <c r="H29" s="44" cm="1">
        <f t="array" ref="H29">D29-D28</f>
        <v>277.2159</v>
      </c>
      <c r="I29" s="44" cm="1">
        <f t="array" ref="I29">MAX(H29,0)</f>
        <v>277.2159</v>
      </c>
      <c r="J29" s="44" cm="1">
        <f t="array" ref="J29">MAX(-H29,0)</f>
        <v>0</v>
      </c>
      <c r="K29" s="45" cm="1">
        <f t="array" ref="K29">D29/D9-1</f>
        <v>0.105437009422402</v>
      </c>
      <c r="L29" s="45" cm="1">
        <f t="array" ref="L29">K29-E29</f>
        <v>9.422402000000001e-09</v>
      </c>
      <c r="M29" s="44"/>
      <c r="N29" s="44"/>
      <c r="O29" s="43" cm="1">
        <f t="array" ref="O29">IF(AVERAGE(J16:J29)=0,100,100-100/(1+AVERAGE(I16:I29)/AVERAGE(J16:J29)))</f>
        <v>70.5662625586294</v>
      </c>
      <c r="P29" s="44" cm="1">
        <f t="array" ref="P29">O29-G29</f>
        <v>-0.0037374413706</v>
      </c>
    </row>
    <row r="30" ht="13.65" customHeight="1">
      <c r="A30" t="s" s="42">
        <v>35</v>
      </c>
      <c r="B30" t="s" s="42">
        <v>90</v>
      </c>
      <c r="C30" s="43">
        <v>14348</v>
      </c>
      <c r="D30" s="44">
        <v>14205.335</v>
      </c>
      <c r="E30" s="45">
        <v>0.099969</v>
      </c>
      <c r="F30" s="44">
        <v>13200.3284</v>
      </c>
      <c r="G30" s="43">
        <v>69.31</v>
      </c>
      <c r="H30" s="44" cm="1">
        <f t="array" ref="H30">D30-D29</f>
        <v>-46.5332</v>
      </c>
      <c r="I30" s="44" cm="1">
        <f t="array" ref="I30">MAX(H30,0)</f>
        <v>0</v>
      </c>
      <c r="J30" s="44" cm="1">
        <f t="array" ref="J30">MAX(-H30,0)</f>
        <v>46.5332</v>
      </c>
      <c r="K30" s="45" cm="1">
        <f t="array" ref="K30">D30/D10-1</f>
        <v>0.09996934561102989</v>
      </c>
      <c r="L30" s="45" cm="1">
        <f t="array" ref="L30">K30-E30</f>
        <v>3.456110299e-07</v>
      </c>
      <c r="M30" s="44"/>
      <c r="N30" s="44"/>
      <c r="O30" s="43" cm="1">
        <f t="array" ref="O30">IF(AVERAGE(J17:J30)=0,100,100-100/(1+AVERAGE(I17:I30)/AVERAGE(J17:J30)))</f>
        <v>69.31395147297729</v>
      </c>
      <c r="P30" s="44" cm="1">
        <f t="array" ref="P30">O30-G30</f>
        <v>0.0039514729773</v>
      </c>
    </row>
    <row r="31" ht="13.65" customHeight="1">
      <c r="A31" t="s" s="42">
        <v>35</v>
      </c>
      <c r="B31" t="s" s="42">
        <v>91</v>
      </c>
      <c r="C31" s="43">
        <v>14366</v>
      </c>
      <c r="D31" s="44">
        <v>14223.1562</v>
      </c>
      <c r="E31" s="45">
        <v>0.099663</v>
      </c>
      <c r="F31" s="44">
        <v>13218.2485</v>
      </c>
      <c r="G31" s="43">
        <v>66.73999999999999</v>
      </c>
      <c r="H31" s="44" cm="1">
        <f t="array" ref="H31">D31-D30</f>
        <v>17.8212</v>
      </c>
      <c r="I31" s="44" cm="1">
        <f t="array" ref="I31">MAX(H31,0)</f>
        <v>17.8212</v>
      </c>
      <c r="J31" s="44" cm="1">
        <f t="array" ref="J31">MAX(-H31,0)</f>
        <v>0</v>
      </c>
      <c r="K31" s="45" cm="1">
        <f t="array" ref="K31">D31/D11-1</f>
        <v>0.09966317338215</v>
      </c>
      <c r="L31" s="45" cm="1">
        <f t="array" ref="L31">K31-E31</f>
        <v>0.000000173382</v>
      </c>
      <c r="M31" s="44"/>
      <c r="N31" s="44"/>
      <c r="O31" s="43" cm="1">
        <f t="array" ref="O31">IF(AVERAGE(J18:J31)=0,100,100-100/(1+AVERAGE(I18:I31)/AVERAGE(J18:J31)))</f>
        <v>66.74478876151321</v>
      </c>
      <c r="P31" s="44" cm="1">
        <f t="array" ref="P31">O31-G31</f>
        <v>0.0047887615132</v>
      </c>
    </row>
    <row r="32" ht="13.65" customHeight="1">
      <c r="A32" t="s" s="42">
        <v>35</v>
      </c>
      <c r="B32" t="s" s="42">
        <v>92</v>
      </c>
      <c r="C32" s="43">
        <v>14456</v>
      </c>
      <c r="D32" s="44">
        <v>14312.2617</v>
      </c>
      <c r="E32" s="45">
        <v>0.10774</v>
      </c>
      <c r="F32" s="44">
        <v>13240.4059</v>
      </c>
      <c r="G32" s="43">
        <v>62.34</v>
      </c>
      <c r="H32" s="44" cm="1">
        <f t="array" ref="H32">D32-D31</f>
        <v>89.10550000000001</v>
      </c>
      <c r="I32" s="44" cm="1">
        <f t="array" ref="I32">MAX(H32,0)</f>
        <v>89.10550000000001</v>
      </c>
      <c r="J32" s="44" cm="1">
        <f t="array" ref="J32">MAX(-H32,0)</f>
        <v>0</v>
      </c>
      <c r="K32" s="45" cm="1">
        <f t="array" ref="K32">D32/D12-1</f>
        <v>0.107739513407846</v>
      </c>
      <c r="L32" s="45" cm="1">
        <f t="array" ref="L32">K32-E32</f>
        <v>-4.86592154e-07</v>
      </c>
      <c r="M32" s="44"/>
      <c r="N32" s="44"/>
      <c r="O32" s="43" cm="1">
        <f t="array" ref="O32">IF(AVERAGE(J19:J32)=0,100,100-100/(1+AVERAGE(I19:I32)/AVERAGE(J19:J32)))</f>
        <v>62.3435617961858</v>
      </c>
      <c r="P32" s="44" cm="1">
        <f t="array" ref="P32">O32-G32</f>
        <v>0.0035617961858</v>
      </c>
    </row>
    <row r="33" ht="13.65" customHeight="1">
      <c r="A33" t="s" s="42">
        <v>35</v>
      </c>
      <c r="B33" t="s" s="42">
        <v>93</v>
      </c>
      <c r="C33" s="43">
        <v>14538</v>
      </c>
      <c r="D33" s="44">
        <v>14393.4463</v>
      </c>
      <c r="E33" s="45">
        <v>0.125929</v>
      </c>
      <c r="F33" s="44">
        <v>13267.6919</v>
      </c>
      <c r="G33" s="43">
        <v>66.26000000000001</v>
      </c>
      <c r="H33" s="44" cm="1">
        <f t="array" ref="H33">D33-D32</f>
        <v>81.1846</v>
      </c>
      <c r="I33" s="44" cm="1">
        <f t="array" ref="I33">MAX(H33,0)</f>
        <v>81.1846</v>
      </c>
      <c r="J33" s="44" cm="1">
        <f t="array" ref="J33">MAX(-H33,0)</f>
        <v>0</v>
      </c>
      <c r="K33" s="45" cm="1">
        <f t="array" ref="K33">D33/D13-1</f>
        <v>0.125929419344998</v>
      </c>
      <c r="L33" s="45" cm="1">
        <f t="array" ref="L33">K33-E33</f>
        <v>4.19344998e-07</v>
      </c>
      <c r="M33" s="44"/>
      <c r="N33" s="44"/>
      <c r="O33" s="43" cm="1">
        <f t="array" ref="O33">IF(AVERAGE(J20:J33)=0,100,100-100/(1+AVERAGE(I20:I33)/AVERAGE(J20:J33)))</f>
        <v>66.2571739609958</v>
      </c>
      <c r="P33" s="44" cm="1">
        <f t="array" ref="P33">O33-G33</f>
        <v>-0.0028260390042</v>
      </c>
    </row>
    <row r="34" ht="13.65" customHeight="1">
      <c r="A34" t="s" s="42">
        <v>35</v>
      </c>
      <c r="B34" t="s" s="42">
        <v>94</v>
      </c>
      <c r="C34" s="43">
        <v>13951</v>
      </c>
      <c r="D34" s="44">
        <v>13812.2822</v>
      </c>
      <c r="E34" s="45">
        <v>0.06333800000000001</v>
      </c>
      <c r="F34" s="44">
        <v>13285.5723</v>
      </c>
      <c r="G34" s="43">
        <v>55.13</v>
      </c>
      <c r="H34" s="44" cm="1">
        <f t="array" ref="H34">D34-D33</f>
        <v>-581.1641</v>
      </c>
      <c r="I34" s="44" cm="1">
        <f t="array" ref="I34">MAX(H34,0)</f>
        <v>0</v>
      </c>
      <c r="J34" s="44" cm="1">
        <f t="array" ref="J34">MAX(-H34,0)</f>
        <v>581.1641</v>
      </c>
      <c r="K34" s="45" cm="1">
        <f t="array" ref="K34">D34/D14-1</f>
        <v>0.06333842381190739</v>
      </c>
      <c r="L34" s="45" cm="1">
        <f t="array" ref="L34">K34-E34</f>
        <v>4.238119074e-07</v>
      </c>
      <c r="M34" s="44"/>
      <c r="N34" s="44"/>
      <c r="O34" s="43" cm="1">
        <f t="array" ref="O34">IF(AVERAGE(J21:J34)=0,100,100-100/(1+AVERAGE(I21:I34)/AVERAGE(J21:J34)))</f>
        <v>55.1261403615285</v>
      </c>
      <c r="P34" s="44" cm="1">
        <f t="array" ref="P34">O34-G34</f>
        <v>-0.0038596384715</v>
      </c>
    </row>
    <row r="35" ht="13.65" customHeight="1">
      <c r="A35" t="s" s="42">
        <v>35</v>
      </c>
      <c r="B35" t="s" s="42">
        <v>95</v>
      </c>
      <c r="C35" s="43">
        <v>13728</v>
      </c>
      <c r="D35" s="44">
        <v>13591.5</v>
      </c>
      <c r="E35" s="45">
        <v>0.050103</v>
      </c>
      <c r="F35" s="44">
        <v>13295.5917</v>
      </c>
      <c r="G35" s="43">
        <v>53.8</v>
      </c>
      <c r="H35" s="44" cm="1">
        <f t="array" ref="H35">D35-D34</f>
        <v>-220.7822</v>
      </c>
      <c r="I35" s="44" cm="1">
        <f t="array" ref="I35">MAX(H35,0)</f>
        <v>0</v>
      </c>
      <c r="J35" s="44" cm="1">
        <f t="array" ref="J35">MAX(-H35,0)</f>
        <v>220.7822</v>
      </c>
      <c r="K35" s="45" cm="1">
        <f t="array" ref="K35">D35/D15-1</f>
        <v>0.0501032730965334</v>
      </c>
      <c r="L35" s="45" cm="1">
        <f t="array" ref="L35">K35-E35</f>
        <v>2.730965334e-07</v>
      </c>
      <c r="M35" s="44"/>
      <c r="N35" s="44"/>
      <c r="O35" s="43" cm="1">
        <f t="array" ref="O35">IF(AVERAGE(J22:J35)=0,100,100-100/(1+AVERAGE(I22:I35)/AVERAGE(J22:J35)))</f>
        <v>53.8029938299281</v>
      </c>
      <c r="P35" s="44" cm="1">
        <f t="array" ref="P35">O35-G35</f>
        <v>0.0029938299281</v>
      </c>
    </row>
    <row r="36" ht="13.65" customHeight="1">
      <c r="A36" t="s" s="42">
        <v>35</v>
      </c>
      <c r="B36" t="s" s="42">
        <v>96</v>
      </c>
      <c r="C36" s="43">
        <v>13854</v>
      </c>
      <c r="D36" s="44">
        <v>13716.2471</v>
      </c>
      <c r="E36" s="45">
        <v>0.057719</v>
      </c>
      <c r="F36" s="44">
        <v>13314.6404</v>
      </c>
      <c r="G36" s="43">
        <v>57.07</v>
      </c>
      <c r="H36" s="44" cm="1">
        <f t="array" ref="H36">D36-D35</f>
        <v>124.7471</v>
      </c>
      <c r="I36" s="44" cm="1">
        <f t="array" ref="I36">MAX(H36,0)</f>
        <v>124.7471</v>
      </c>
      <c r="J36" s="44" cm="1">
        <f t="array" ref="J36">MAX(-H36,0)</f>
        <v>0</v>
      </c>
      <c r="K36" s="45" cm="1">
        <f t="array" ref="K36">D36/D16-1</f>
        <v>0.0577187722814536</v>
      </c>
      <c r="L36" s="45" cm="1">
        <f t="array" ref="L36">K36-E36</f>
        <v>-2.277185464e-07</v>
      </c>
      <c r="M36" s="44"/>
      <c r="N36" s="44"/>
      <c r="O36" s="43" cm="1">
        <f t="array" ref="O36">IF(AVERAGE(J23:J36)=0,100,100-100/(1+AVERAGE(I23:I36)/AVERAGE(J23:J36)))</f>
        <v>57.0724205470388</v>
      </c>
      <c r="P36" s="44" cm="1">
        <f t="array" ref="P36">O36-G36</f>
        <v>0.0024205470388</v>
      </c>
    </row>
    <row r="37" ht="13.65" customHeight="1">
      <c r="A37" t="s" s="42">
        <v>35</v>
      </c>
      <c r="B37" t="s" s="42">
        <v>97</v>
      </c>
      <c r="C37" s="43">
        <v>13695</v>
      </c>
      <c r="D37" s="44">
        <v>13558.8281</v>
      </c>
      <c r="E37" s="45">
        <v>0.024615</v>
      </c>
      <c r="F37" s="44">
        <v>13323.3133</v>
      </c>
      <c r="G37" s="43">
        <v>54.06</v>
      </c>
      <c r="H37" s="44" cm="1">
        <f t="array" ref="H37">D37-D36</f>
        <v>-157.419</v>
      </c>
      <c r="I37" s="44" cm="1">
        <f t="array" ref="I37">MAX(H37,0)</f>
        <v>0</v>
      </c>
      <c r="J37" s="44" cm="1">
        <f t="array" ref="J37">MAX(-H37,0)</f>
        <v>157.419</v>
      </c>
      <c r="K37" s="45" cm="1">
        <f t="array" ref="K37">D37/D17-1</f>
        <v>0.0246146790884881</v>
      </c>
      <c r="L37" s="45" cm="1">
        <f t="array" ref="L37">K37-E37</f>
        <v>-3.209115119e-07</v>
      </c>
      <c r="M37" s="44"/>
      <c r="N37" s="44"/>
      <c r="O37" s="43" cm="1">
        <f t="array" ref="O37">IF(AVERAGE(J24:J37)=0,100,100-100/(1+AVERAGE(I24:I37)/AVERAGE(J24:J37)))</f>
        <v>54.0556489683604</v>
      </c>
      <c r="P37" s="44" cm="1">
        <f t="array" ref="P37">O37-G37</f>
        <v>-0.0043510316396</v>
      </c>
    </row>
    <row r="38" ht="13.65" customHeight="1">
      <c r="A38" t="s" s="42">
        <v>35</v>
      </c>
      <c r="B38" t="s" s="42">
        <v>98</v>
      </c>
      <c r="C38" s="43">
        <v>13489</v>
      </c>
      <c r="D38" s="44">
        <v>13354.876</v>
      </c>
      <c r="E38" s="45">
        <v>-0.02289</v>
      </c>
      <c r="F38" s="44">
        <v>13326.7785</v>
      </c>
      <c r="G38" s="43">
        <v>50.53</v>
      </c>
      <c r="H38" s="44" cm="1">
        <f t="array" ref="H38">D38-D37</f>
        <v>-203.9521</v>
      </c>
      <c r="I38" s="44" cm="1">
        <f t="array" ref="I38">MAX(H38,0)</f>
        <v>0</v>
      </c>
      <c r="J38" s="44" cm="1">
        <f t="array" ref="J38">MAX(-H38,0)</f>
        <v>203.9521</v>
      </c>
      <c r="K38" s="45" cm="1">
        <f t="array" ref="K38">D38/D18-1</f>
        <v>-0.022890289703025</v>
      </c>
      <c r="L38" s="45" cm="1">
        <f t="array" ref="L38">K38-E38</f>
        <v>-2.89703025e-07</v>
      </c>
      <c r="M38" s="44"/>
      <c r="N38" s="44"/>
      <c r="O38" s="43" cm="1">
        <f t="array" ref="O38">IF(AVERAGE(J25:J38)=0,100,100-100/(1+AVERAGE(I25:I38)/AVERAGE(J25:J38)))</f>
        <v>50.5346075703539</v>
      </c>
      <c r="P38" s="44" cm="1">
        <f t="array" ref="P38">O38-G38</f>
        <v>0.0046075703539</v>
      </c>
    </row>
    <row r="39" ht="13.65" customHeight="1">
      <c r="A39" t="s" s="42">
        <v>35</v>
      </c>
      <c r="B39" t="s" s="42">
        <v>99</v>
      </c>
      <c r="C39" s="43">
        <v>13583</v>
      </c>
      <c r="D39" s="44">
        <v>13447.9414</v>
      </c>
      <c r="E39" s="45">
        <v>-0.007887999999999999</v>
      </c>
      <c r="F39" s="44">
        <v>13326.8379</v>
      </c>
      <c r="G39" s="43">
        <v>54.86</v>
      </c>
      <c r="H39" s="44" cm="1">
        <f t="array" ref="H39">D39-D38</f>
        <v>93.0654</v>
      </c>
      <c r="I39" s="44" cm="1">
        <f t="array" ref="I39">MAX(H39,0)</f>
        <v>93.0654</v>
      </c>
      <c r="J39" s="44" cm="1">
        <f t="array" ref="J39">MAX(-H39,0)</f>
        <v>0</v>
      </c>
      <c r="K39" s="45" cm="1">
        <f t="array" ref="K39">D39/D19-1</f>
        <v>-0.00788844261871908</v>
      </c>
      <c r="L39" s="45" cm="1">
        <f t="array" ref="L39">K39-E39</f>
        <v>-4.4261871908e-07</v>
      </c>
      <c r="M39" s="44"/>
      <c r="N39" s="44"/>
      <c r="O39" s="43" cm="1">
        <f t="array" ref="O39">IF(AVERAGE(J26:J39)=0,100,100-100/(1+AVERAGE(I26:I39)/AVERAGE(J26:J39)))</f>
        <v>54.8621122556332</v>
      </c>
      <c r="P39" s="44" cm="1">
        <f t="array" ref="P39">O39-G39</f>
        <v>0.0021122556332</v>
      </c>
    </row>
    <row r="40" ht="13.65" customHeight="1">
      <c r="A40" t="s" s="42">
        <v>35</v>
      </c>
      <c r="B40" t="s" s="42">
        <v>100</v>
      </c>
      <c r="C40" s="43">
        <v>13783</v>
      </c>
      <c r="D40" s="44">
        <v>13645.9531</v>
      </c>
      <c r="E40" s="45">
        <v>0.011225</v>
      </c>
      <c r="F40" s="44">
        <v>13333.9069</v>
      </c>
      <c r="G40" s="43">
        <v>50.6</v>
      </c>
      <c r="H40" s="44" cm="1">
        <f t="array" ref="H40">D40-D39</f>
        <v>198.0117</v>
      </c>
      <c r="I40" s="44" cm="1">
        <f t="array" ref="I40">MAX(H40,0)</f>
        <v>198.0117</v>
      </c>
      <c r="J40" s="44" cm="1">
        <f t="array" ref="J40">MAX(-H40,0)</f>
        <v>0</v>
      </c>
      <c r="K40" s="45" cm="1">
        <f t="array" ref="K40">D40/D20-1</f>
        <v>0.0112252239890837</v>
      </c>
      <c r="L40" s="45" cm="1">
        <f t="array" ref="L40">K40-E40</f>
        <v>2.239890837e-07</v>
      </c>
      <c r="M40" s="44"/>
      <c r="N40" s="44"/>
      <c r="O40" s="43" cm="1">
        <f t="array" ref="O40">IF(AVERAGE(J27:J40)=0,100,100-100/(1+AVERAGE(I27:I40)/AVERAGE(J27:J40)))</f>
        <v>50.6035546161581</v>
      </c>
      <c r="P40" s="44" cm="1">
        <f t="array" ref="P40">O40-G40</f>
        <v>0.0035546161581</v>
      </c>
    </row>
    <row r="41" ht="13.65" customHeight="1">
      <c r="A41" t="s" s="42">
        <v>35</v>
      </c>
      <c r="B41" t="s" s="42">
        <v>101</v>
      </c>
      <c r="C41" s="43">
        <v>13803</v>
      </c>
      <c r="D41" s="44">
        <v>13665.7539</v>
      </c>
      <c r="E41" s="45">
        <v>0.023658</v>
      </c>
      <c r="F41" s="44">
        <v>13335.5108</v>
      </c>
      <c r="G41" s="43">
        <v>56.9</v>
      </c>
      <c r="H41" s="44" cm="1">
        <f t="array" ref="H41">D41-D40</f>
        <v>19.8008</v>
      </c>
      <c r="I41" s="44" cm="1">
        <f t="array" ref="I41">MAX(H41,0)</f>
        <v>19.8008</v>
      </c>
      <c r="J41" s="44" cm="1">
        <f t="array" ref="J41">MAX(-H41,0)</f>
        <v>0</v>
      </c>
      <c r="K41" s="45" cm="1">
        <f t="array" ref="K41">D41/D21-1</f>
        <v>0.0236576670710784</v>
      </c>
      <c r="L41" s="45" cm="1">
        <f t="array" ref="L41">K41-E41</f>
        <v>-3.329289216e-07</v>
      </c>
      <c r="M41" s="44"/>
      <c r="N41" s="44"/>
      <c r="O41" s="43" cm="1">
        <f t="array" ref="O41">IF(AVERAGE(J28:J41)=0,100,100-100/(1+AVERAGE(I28:I41)/AVERAGE(J28:J41)))</f>
        <v>56.8959391138741</v>
      </c>
      <c r="P41" s="44" cm="1">
        <f t="array" ref="P41">O41-G41</f>
        <v>-0.0040608861259</v>
      </c>
    </row>
    <row r="42" ht="13.65" customHeight="1">
      <c r="A42" t="s" s="42">
        <v>35</v>
      </c>
      <c r="B42" t="s" s="42">
        <v>102</v>
      </c>
      <c r="C42" s="43">
        <v>13514</v>
      </c>
      <c r="D42" s="44">
        <v>13379.6279</v>
      </c>
      <c r="E42" s="45">
        <v>0.008884</v>
      </c>
      <c r="F42" s="44">
        <v>13330.4417</v>
      </c>
      <c r="G42" s="43">
        <v>37.59</v>
      </c>
      <c r="H42" s="44" cm="1">
        <f t="array" ref="H42">D42-D41</f>
        <v>-286.126</v>
      </c>
      <c r="I42" s="44" cm="1">
        <f t="array" ref="I42">MAX(H42,0)</f>
        <v>0</v>
      </c>
      <c r="J42" s="44" cm="1">
        <f t="array" ref="J42">MAX(-H42,0)</f>
        <v>286.126</v>
      </c>
      <c r="K42" s="45" cm="1">
        <f t="array" ref="K42">D42/D22-1</f>
        <v>0.00888396045170454</v>
      </c>
      <c r="L42" s="45" cm="1">
        <f t="array" ref="L42">K42-E42</f>
        <v>-3.954829546e-08</v>
      </c>
      <c r="M42" s="44"/>
      <c r="N42" s="44"/>
      <c r="O42" s="43" cm="1">
        <f t="array" ref="O42">IF(AVERAGE(J29:J42)=0,100,100-100/(1+AVERAGE(I29:I42)/AVERAGE(J29:J42)))</f>
        <v>37.5877748225145</v>
      </c>
      <c r="P42" s="44" cm="1">
        <f t="array" ref="P42">O42-G42</f>
        <v>-0.0022251774855</v>
      </c>
    </row>
    <row r="43" ht="13.65" customHeight="1">
      <c r="A43" t="s" s="42">
        <v>35</v>
      </c>
      <c r="B43" t="s" s="42">
        <v>103</v>
      </c>
      <c r="C43" s="43">
        <v>13597</v>
      </c>
      <c r="D43" s="44">
        <v>13461.8027</v>
      </c>
      <c r="E43" s="45">
        <v>0.013114</v>
      </c>
      <c r="F43" s="44">
        <v>13327.8873</v>
      </c>
      <c r="G43" s="43">
        <v>32.06</v>
      </c>
      <c r="H43" s="44" cm="1">
        <f t="array" ref="H43">D43-D42</f>
        <v>82.1748</v>
      </c>
      <c r="I43" s="44" cm="1">
        <f t="array" ref="I43">MAX(H43,0)</f>
        <v>82.1748</v>
      </c>
      <c r="J43" s="44" cm="1">
        <f t="array" ref="J43">MAX(-H43,0)</f>
        <v>0</v>
      </c>
      <c r="K43" s="45" cm="1">
        <f t="array" ref="K43">D43/D23-1</f>
        <v>0.0131137767754629</v>
      </c>
      <c r="L43" s="45" cm="1">
        <f t="array" ref="L43">K43-E43</f>
        <v>-2.232245371e-07</v>
      </c>
      <c r="M43" s="44"/>
      <c r="N43" s="44"/>
      <c r="O43" s="43" cm="1">
        <f t="array" ref="O43">IF(AVERAGE(J30:J43)=0,100,100-100/(1+AVERAGE(I30:I43)/AVERAGE(J30:J43)))</f>
        <v>32.0593597938714</v>
      </c>
      <c r="P43" s="44" cm="1">
        <f t="array" ref="P43">O43-G43</f>
        <v>-0.0006402061286</v>
      </c>
    </row>
    <row r="44" ht="13.65" customHeight="1">
      <c r="A44" t="s" s="42">
        <v>35</v>
      </c>
      <c r="B44" t="s" s="42">
        <v>104</v>
      </c>
      <c r="C44" s="43">
        <v>13545</v>
      </c>
      <c r="D44" s="44">
        <v>13410.3193</v>
      </c>
      <c r="E44" s="45">
        <v>0.006988</v>
      </c>
      <c r="F44" s="44">
        <v>13329.115</v>
      </c>
      <c r="G44" s="43">
        <v>31.99</v>
      </c>
      <c r="H44" s="44" cm="1">
        <f t="array" ref="H44">D44-D43</f>
        <v>-51.4834</v>
      </c>
      <c r="I44" s="44" cm="1">
        <f t="array" ref="I44">MAX(H44,0)</f>
        <v>0</v>
      </c>
      <c r="J44" s="44" cm="1">
        <f t="array" ref="J44">MAX(-H44,0)</f>
        <v>51.4834</v>
      </c>
      <c r="K44" s="45" cm="1">
        <f t="array" ref="K44">D44/D24-1</f>
        <v>0.00698833263215024</v>
      </c>
      <c r="L44" s="45" cm="1">
        <f t="array" ref="L44">K44-E44</f>
        <v>3.3263215024e-07</v>
      </c>
      <c r="M44" s="44"/>
      <c r="N44" s="44"/>
      <c r="O44" s="43" cm="1">
        <f t="array" ref="O44">IF(AVERAGE(J31:J44)=0,100,100-100/(1+AVERAGE(I31:I44)/AVERAGE(J31:J44)))</f>
        <v>31.987446835130</v>
      </c>
      <c r="P44" s="44" cm="1">
        <f t="array" ref="P44">O44-G44</f>
        <v>-0.002553164870</v>
      </c>
    </row>
    <row r="45" ht="13.65" customHeight="1">
      <c r="A45" t="s" s="42">
        <v>35</v>
      </c>
      <c r="B45" t="s" s="42">
        <v>105</v>
      </c>
      <c r="C45" s="43">
        <v>13403</v>
      </c>
      <c r="D45" s="44">
        <v>13269.7314</v>
      </c>
      <c r="E45" s="45">
        <v>0.0117</v>
      </c>
      <c r="F45" s="44">
        <v>13333.6891</v>
      </c>
      <c r="G45" s="43">
        <v>29.54</v>
      </c>
      <c r="H45" s="44" cm="1">
        <f t="array" ref="H45">D45-D44</f>
        <v>-140.5879</v>
      </c>
      <c r="I45" s="44" cm="1">
        <f t="array" ref="I45">MAX(H45,0)</f>
        <v>0</v>
      </c>
      <c r="J45" s="44" cm="1">
        <f t="array" ref="J45">MAX(-H45,0)</f>
        <v>140.5879</v>
      </c>
      <c r="K45" s="45" cm="1">
        <f t="array" ref="K45">D45/D25-1</f>
        <v>0.0116998865340744</v>
      </c>
      <c r="L45" s="45" cm="1">
        <f t="array" ref="L45">K45-E45</f>
        <v>-1.134659256e-07</v>
      </c>
      <c r="M45" s="44"/>
      <c r="N45" s="44"/>
      <c r="O45" s="43" cm="1">
        <f t="array" ref="O45">IF(AVERAGE(J32:J45)=0,100,100-100/(1+AVERAGE(I32:I45)/AVERAGE(J32:J45)))</f>
        <v>29.5367677416159</v>
      </c>
      <c r="P45" s="44" cm="1">
        <f t="array" ref="P45">O45-G45</f>
        <v>-0.0032322583841</v>
      </c>
    </row>
    <row r="46" ht="13.65" customHeight="1">
      <c r="A46" t="s" s="42">
        <v>35</v>
      </c>
      <c r="B46" t="s" s="42">
        <v>106</v>
      </c>
      <c r="C46" s="43">
        <v>13442</v>
      </c>
      <c r="D46" s="44">
        <v>13308.3438</v>
      </c>
      <c r="E46" s="45">
        <v>-0.022044</v>
      </c>
      <c r="F46" s="44">
        <v>13340.4017</v>
      </c>
      <c r="G46" s="43">
        <v>27.98</v>
      </c>
      <c r="H46" s="44" cm="1">
        <f t="array" ref="H46">D46-D45</f>
        <v>38.6124</v>
      </c>
      <c r="I46" s="44" cm="1">
        <f t="array" ref="I46">MAX(H46,0)</f>
        <v>38.6124</v>
      </c>
      <c r="J46" s="44" cm="1">
        <f t="array" ref="J46">MAX(-H46,0)</f>
        <v>0</v>
      </c>
      <c r="K46" s="45" cm="1">
        <f t="array" ref="K46">D46/D26-1</f>
        <v>-0.0220443857366169</v>
      </c>
      <c r="L46" s="45" cm="1">
        <f t="array" ref="L46">K46-E46</f>
        <v>-3.857366169e-07</v>
      </c>
      <c r="M46" s="44"/>
      <c r="N46" s="44"/>
      <c r="O46" s="43" cm="1">
        <f t="array" ref="O46">IF(AVERAGE(J33:J46)=0,100,100-100/(1+AVERAGE(I33:I46)/AVERAGE(J33:J46)))</f>
        <v>27.9756738536048</v>
      </c>
      <c r="P46" s="44" cm="1">
        <f t="array" ref="P46">O46-G46</f>
        <v>-0.0043261463952</v>
      </c>
    </row>
    <row r="47" ht="13.65" customHeight="1">
      <c r="A47" t="s" s="42">
        <v>35</v>
      </c>
      <c r="B47" t="s" s="42">
        <v>107</v>
      </c>
      <c r="C47" s="43">
        <v>13730</v>
      </c>
      <c r="D47" s="44">
        <v>13593.4805</v>
      </c>
      <c r="E47" s="45">
        <v>0.02371</v>
      </c>
      <c r="F47" s="44">
        <v>13353.3714</v>
      </c>
      <c r="G47" s="43">
        <v>33.89</v>
      </c>
      <c r="H47" s="44" cm="1">
        <f t="array" ref="H47">D47-D46</f>
        <v>285.1367</v>
      </c>
      <c r="I47" s="44" cm="1">
        <f t="array" ref="I47">MAX(H47,0)</f>
        <v>285.1367</v>
      </c>
      <c r="J47" s="44" cm="1">
        <f t="array" ref="J47">MAX(-H47,0)</f>
        <v>0</v>
      </c>
      <c r="K47" s="45" cm="1">
        <f t="array" ref="K47">D47/D27-1</f>
        <v>0.0237101737876561</v>
      </c>
      <c r="L47" s="45" cm="1">
        <f t="array" ref="L47">K47-E47</f>
        <v>1.737876561e-07</v>
      </c>
      <c r="M47" s="44"/>
      <c r="N47" s="44"/>
      <c r="O47" s="43" cm="1">
        <f t="array" ref="O47">IF(AVERAGE(J34:J47)=0,100,100-100/(1+AVERAGE(I34:I47)/AVERAGE(J34:J47)))</f>
        <v>33.8915563822046</v>
      </c>
      <c r="P47" s="44" cm="1">
        <f t="array" ref="P47">O47-G47</f>
        <v>0.0015563822046</v>
      </c>
    </row>
    <row r="48" ht="13.65" customHeight="1">
      <c r="A48" t="s" s="42">
        <v>35</v>
      </c>
      <c r="B48" t="s" s="42">
        <v>108</v>
      </c>
      <c r="C48" s="43">
        <v>13802</v>
      </c>
      <c r="D48" s="44">
        <v>13664.7637</v>
      </c>
      <c r="E48" s="45">
        <v>-0.022175</v>
      </c>
      <c r="F48" s="44">
        <v>13364.8759</v>
      </c>
      <c r="G48" s="43">
        <v>46.26</v>
      </c>
      <c r="H48" s="44" cm="1">
        <f t="array" ref="H48">D48-D47</f>
        <v>71.28319999999999</v>
      </c>
      <c r="I48" s="44" cm="1">
        <f t="array" ref="I48">MAX(H48,0)</f>
        <v>71.28319999999999</v>
      </c>
      <c r="J48" s="44" cm="1">
        <f t="array" ref="J48">MAX(-H48,0)</f>
        <v>0</v>
      </c>
      <c r="K48" s="45" cm="1">
        <f t="array" ref="K48">D48/D28-1</f>
        <v>-0.0221750490350304</v>
      </c>
      <c r="L48" s="45" cm="1">
        <f t="array" ref="L48">K48-E48</f>
        <v>-4.90350304e-08</v>
      </c>
      <c r="M48" s="44"/>
      <c r="N48" s="44"/>
      <c r="O48" s="43" cm="1">
        <f t="array" ref="O48">IF(AVERAGE(J35:J48)=0,100,100-100/(1+AVERAGE(I35:I48)/AVERAGE(J35:J48)))</f>
        <v>46.2619148242076</v>
      </c>
      <c r="P48" s="44" cm="1">
        <f t="array" ref="P48">O48-G48</f>
        <v>0.0019148242076</v>
      </c>
    </row>
    <row r="49" ht="13.65" customHeight="1">
      <c r="A49" t="s" s="42">
        <v>35</v>
      </c>
      <c r="B49" t="s" s="42">
        <v>109</v>
      </c>
      <c r="C49" s="43">
        <v>13948</v>
      </c>
      <c r="D49" s="44">
        <v>13809.3125</v>
      </c>
      <c r="E49" s="45">
        <v>-0.031052</v>
      </c>
      <c r="F49" s="44">
        <v>13383.3305</v>
      </c>
      <c r="G49" s="43">
        <v>55.74</v>
      </c>
      <c r="H49" s="44" cm="1">
        <f t="array" ref="H49">D49-D48</f>
        <v>144.5488</v>
      </c>
      <c r="I49" s="44" cm="1">
        <f t="array" ref="I49">MAX(H49,0)</f>
        <v>144.5488</v>
      </c>
      <c r="J49" s="44" cm="1">
        <f t="array" ref="J49">MAX(-H49,0)</f>
        <v>0</v>
      </c>
      <c r="K49" s="45" cm="1">
        <f t="array" ref="K49">D49/D29-1</f>
        <v>-0.0310524693176716</v>
      </c>
      <c r="L49" s="45" cm="1">
        <f t="array" ref="L49">K49-E49</f>
        <v>-4.693176716e-07</v>
      </c>
      <c r="M49" s="44"/>
      <c r="N49" s="44"/>
      <c r="O49" s="43" cm="1">
        <f t="array" ref="O49">IF(AVERAGE(J36:J49)=0,100,100-100/(1+AVERAGE(I36:I49)/AVERAGE(J36:J49)))</f>
        <v>55.7411260279861</v>
      </c>
      <c r="P49" s="44" cm="1">
        <f t="array" ref="P49">O49-G49</f>
        <v>0.0011260279861</v>
      </c>
    </row>
    <row r="50" ht="13.65" customHeight="1">
      <c r="A50" t="s" s="42">
        <v>35</v>
      </c>
      <c r="B50" t="s" s="42">
        <v>110</v>
      </c>
      <c r="C50" s="43">
        <v>14188</v>
      </c>
      <c r="D50" s="44">
        <v>14046.9258</v>
      </c>
      <c r="E50" s="45">
        <v>-0.011151</v>
      </c>
      <c r="F50" s="44">
        <v>13407.7255</v>
      </c>
      <c r="G50" s="43">
        <v>58.23</v>
      </c>
      <c r="H50" s="44" cm="1">
        <f t="array" ref="H50">D50-D49</f>
        <v>237.6133</v>
      </c>
      <c r="I50" s="44" cm="1">
        <f t="array" ref="I50">MAX(H50,0)</f>
        <v>237.6133</v>
      </c>
      <c r="J50" s="44" cm="1">
        <f t="array" ref="J50">MAX(-H50,0)</f>
        <v>0</v>
      </c>
      <c r="K50" s="45" cm="1">
        <f t="array" ref="K50">D50/D30-1</f>
        <v>-0.0111513878412582</v>
      </c>
      <c r="L50" s="45" cm="1">
        <f t="array" ref="L50">K50-E50</f>
        <v>-3.878412582e-07</v>
      </c>
      <c r="M50" s="44"/>
      <c r="N50" s="44"/>
      <c r="O50" s="43" cm="1">
        <f t="array" ref="O50">IF(AVERAGE(J37:J50)=0,100,100-100/(1+AVERAGE(I37:I50)/AVERAGE(J37:J50)))</f>
        <v>58.2265934360642</v>
      </c>
      <c r="P50" s="44" cm="1">
        <f t="array" ref="P50">O50-G50</f>
        <v>-0.0034065639358</v>
      </c>
    </row>
    <row r="51" ht="13.65" customHeight="1">
      <c r="A51" t="s" s="42">
        <v>35</v>
      </c>
      <c r="B51" t="s" s="42">
        <v>111</v>
      </c>
      <c r="C51" s="43">
        <v>14234</v>
      </c>
      <c r="D51" s="44">
        <v>14092.4688</v>
      </c>
      <c r="E51" s="45">
        <v>-0.009188</v>
      </c>
      <c r="F51" s="44">
        <v>13432.1007</v>
      </c>
      <c r="G51" s="43">
        <v>64.06</v>
      </c>
      <c r="H51" s="44" cm="1">
        <f t="array" ref="H51">D51-D50</f>
        <v>45.543</v>
      </c>
      <c r="I51" s="44" cm="1">
        <f t="array" ref="I51">MAX(H51,0)</f>
        <v>45.543</v>
      </c>
      <c r="J51" s="44" cm="1">
        <f t="array" ref="J51">MAX(-H51,0)</f>
        <v>0</v>
      </c>
      <c r="K51" s="45" cm="1">
        <f t="array" ref="K51">D51/D31-1</f>
        <v>-0.009188354410394509</v>
      </c>
      <c r="L51" s="45" cm="1">
        <f t="array" ref="L51">K51-E51</f>
        <v>-3.5441039451e-07</v>
      </c>
      <c r="M51" s="44" cm="1">
        <f t="array" ref="M51">AVERAGE(D2:D51)</f>
        <v>13432.100724</v>
      </c>
      <c r="N51" s="44" cm="1">
        <f t="array" ref="N51">M51-F51</f>
        <v>2.4e-05</v>
      </c>
      <c r="O51" s="43" cm="1">
        <f t="array" ref="O51">IF(AVERAGE(J38:J51)=0,100,100-100/(1+AVERAGE(I38:I51)/AVERAGE(J38:J51)))</f>
        <v>64.0584223048206</v>
      </c>
      <c r="P51" s="44" cm="1">
        <f t="array" ref="P51">O51-G51</f>
        <v>-0.0015776951794</v>
      </c>
    </row>
    <row r="52" ht="13.65" customHeight="1">
      <c r="A52" t="s" s="42">
        <v>35</v>
      </c>
      <c r="B52" t="s" s="42">
        <v>112</v>
      </c>
      <c r="C52" s="43">
        <v>14150</v>
      </c>
      <c r="D52" s="44">
        <v>14009.3037</v>
      </c>
      <c r="E52" s="45">
        <v>-0.021168</v>
      </c>
      <c r="F52" s="44">
        <v>13454.674</v>
      </c>
      <c r="G52" s="43">
        <v>68.41</v>
      </c>
      <c r="H52" s="44" cm="1">
        <f t="array" ref="H52">D52-D51</f>
        <v>-83.1651</v>
      </c>
      <c r="I52" s="44" cm="1">
        <f t="array" ref="I52">MAX(H52,0)</f>
        <v>0</v>
      </c>
      <c r="J52" s="44" cm="1">
        <f t="array" ref="J52">MAX(-H52,0)</f>
        <v>83.1651</v>
      </c>
      <c r="K52" s="45" cm="1">
        <f t="array" ref="K52">D52/D32-1</f>
        <v>-0.0211677236170158</v>
      </c>
      <c r="L52" s="45" cm="1">
        <f t="array" ref="L52">K52-E52</f>
        <v>2.763829842e-07</v>
      </c>
      <c r="M52" s="44" cm="1">
        <f t="array" ref="M52">AVERAGE(D3:D52)</f>
        <v>13454.674024</v>
      </c>
      <c r="N52" s="44" cm="1">
        <f t="array" ref="N52">M52-F52</f>
        <v>2.4e-05</v>
      </c>
      <c r="O52" s="43" cm="1">
        <f t="array" ref="O52">IF(AVERAGE(J39:J52)=0,100,100-100/(1+AVERAGE(I39:I52)/AVERAGE(J39:J52)))</f>
        <v>68.4122549978125</v>
      </c>
      <c r="P52" s="44" cm="1">
        <f t="array" ref="P52">O52-G52</f>
        <v>0.0022549978125</v>
      </c>
    </row>
    <row r="53" ht="13.65" customHeight="1">
      <c r="A53" t="s" s="42">
        <v>35</v>
      </c>
      <c r="B53" t="s" s="42">
        <v>113</v>
      </c>
      <c r="C53" s="43">
        <v>14168</v>
      </c>
      <c r="D53" s="44">
        <v>14027.125</v>
      </c>
      <c r="E53" s="45">
        <v>-0.025451</v>
      </c>
      <c r="F53" s="44">
        <v>13478.0592</v>
      </c>
      <c r="G53" s="43">
        <v>67.02</v>
      </c>
      <c r="H53" s="44" cm="1">
        <f t="array" ref="H53">D53-D52</f>
        <v>17.8213</v>
      </c>
      <c r="I53" s="44" cm="1">
        <f t="array" ref="I53">MAX(H53,0)</f>
        <v>17.8213</v>
      </c>
      <c r="J53" s="44" cm="1">
        <f t="array" ref="J53">MAX(-H53,0)</f>
        <v>0</v>
      </c>
      <c r="K53" s="45" cm="1">
        <f t="array" ref="K53">D53/D33-1</f>
        <v>-0.0254505621770375</v>
      </c>
      <c r="L53" s="45" cm="1">
        <f t="array" ref="L53">K53-E53</f>
        <v>4.378229625e-07</v>
      </c>
      <c r="M53" s="44" cm="1">
        <f t="array" ref="M53">AVERAGE(D4:D53)</f>
        <v>13478.05916</v>
      </c>
      <c r="N53" s="44" cm="1">
        <f t="array" ref="N53">M53-F53</f>
        <v>-4e-05</v>
      </c>
      <c r="O53" s="43" cm="1">
        <f t="array" ref="O53">IF(AVERAGE(J40:J53)=0,100,100-100/(1+AVERAGE(I40:I53)/AVERAGE(J40:J53)))</f>
        <v>67.01571012870021</v>
      </c>
      <c r="P53" s="44" cm="1">
        <f t="array" ref="P53">O53-G53</f>
        <v>-0.0042898712998</v>
      </c>
    </row>
    <row r="54" ht="13.65" customHeight="1">
      <c r="A54" t="s" s="42">
        <v>35</v>
      </c>
      <c r="B54" t="s" s="42">
        <v>114</v>
      </c>
      <c r="C54" s="43">
        <v>14190</v>
      </c>
      <c r="D54" s="44">
        <v>14048.9062</v>
      </c>
      <c r="E54" s="45">
        <v>0.017131</v>
      </c>
      <c r="F54" s="44">
        <v>13498.2563</v>
      </c>
      <c r="G54" s="43">
        <v>63.21</v>
      </c>
      <c r="H54" s="44" cm="1">
        <f t="array" ref="H54">D54-D53</f>
        <v>21.7812</v>
      </c>
      <c r="I54" s="44" cm="1">
        <f t="array" ref="I54">MAX(H54,0)</f>
        <v>21.7812</v>
      </c>
      <c r="J54" s="44" cm="1">
        <f t="array" ref="J54">MAX(-H54,0)</f>
        <v>0</v>
      </c>
      <c r="K54" s="45" cm="1">
        <f t="array" ref="K54">D54/D34-1</f>
        <v>0.0171314194550702</v>
      </c>
      <c r="L54" s="45" cm="1">
        <f t="array" ref="L54">K54-E54</f>
        <v>4.194550702e-07</v>
      </c>
      <c r="M54" s="44" cm="1">
        <f t="array" ref="M54">AVERAGE(D5:D54)</f>
        <v>13498.256326</v>
      </c>
      <c r="N54" s="44" cm="1">
        <f t="array" ref="N54">M54-F54</f>
        <v>2.6e-05</v>
      </c>
      <c r="O54" s="43" cm="1">
        <f t="array" ref="O54">IF(AVERAGE(J41:J54)=0,100,100-100/(1+AVERAGE(I41:I54)/AVERAGE(J41:J54)))</f>
        <v>63.2057067877827</v>
      </c>
      <c r="P54" s="44" cm="1">
        <f t="array" ref="P54">O54-G54</f>
        <v>-0.0042932122173</v>
      </c>
    </row>
    <row r="55" ht="13.65" customHeight="1">
      <c r="A55" t="s" s="42">
        <v>35</v>
      </c>
      <c r="B55" t="s" s="42">
        <v>115</v>
      </c>
      <c r="C55" s="43">
        <v>14080</v>
      </c>
      <c r="D55" s="44">
        <v>13940</v>
      </c>
      <c r="E55" s="45">
        <v>0.025641</v>
      </c>
      <c r="F55" s="44">
        <v>13515.5229</v>
      </c>
      <c r="G55" s="43">
        <v>58.49</v>
      </c>
      <c r="H55" s="44" cm="1">
        <f t="array" ref="H55">D55-D54</f>
        <v>-108.9062</v>
      </c>
      <c r="I55" s="44" cm="1">
        <f t="array" ref="I55">MAX(H55,0)</f>
        <v>0</v>
      </c>
      <c r="J55" s="44" cm="1">
        <f t="array" ref="J55">MAX(-H55,0)</f>
        <v>108.9062</v>
      </c>
      <c r="K55" s="45" cm="1">
        <f t="array" ref="K55">D55/D35-1</f>
        <v>0.0256410256410256</v>
      </c>
      <c r="L55" s="45" cm="1">
        <f t="array" ref="L55">K55-E55</f>
        <v>2.56410256e-08</v>
      </c>
      <c r="M55" s="44" cm="1">
        <f t="array" ref="M55">AVERAGE(D6:D55)</f>
        <v>13515.522928</v>
      </c>
      <c r="N55" s="44" cm="1">
        <f t="array" ref="N55">M55-F55</f>
        <v>2.8e-05</v>
      </c>
      <c r="O55" s="43" cm="1">
        <f t="array" ref="O55">IF(AVERAGE(J42:J55)=0,100,100-100/(1+AVERAGE(I42:I55)/AVERAGE(J42:J55)))</f>
        <v>58.4917307480205</v>
      </c>
      <c r="P55" s="44" cm="1">
        <f t="array" ref="P55">O55-G55</f>
        <v>0.0017307480205</v>
      </c>
    </row>
    <row r="56" ht="13.65" customHeight="1">
      <c r="A56" t="s" s="42">
        <v>35</v>
      </c>
      <c r="B56" t="s" s="42">
        <v>116</v>
      </c>
      <c r="C56" s="43">
        <v>14037</v>
      </c>
      <c r="D56" s="44">
        <v>14037</v>
      </c>
      <c r="E56" s="45">
        <v>0.023385</v>
      </c>
      <c r="F56" s="44">
        <v>13531.6405</v>
      </c>
      <c r="G56" s="43">
        <v>73.06</v>
      </c>
      <c r="H56" s="44" cm="1">
        <f t="array" ref="H56">D56-D55</f>
        <v>97</v>
      </c>
      <c r="I56" s="44" cm="1">
        <f t="array" ref="I56">MAX(H56,0)</f>
        <v>97</v>
      </c>
      <c r="J56" s="44" cm="1">
        <f t="array" ref="J56">MAX(-H56,0)</f>
        <v>0</v>
      </c>
      <c r="K56" s="45" cm="1">
        <f t="array" ref="K56">D56/D36-1</f>
        <v>0.0233848878385984</v>
      </c>
      <c r="L56" s="45" cm="1">
        <f t="array" ref="L56">K56-E56</f>
        <v>-1.121614016e-07</v>
      </c>
      <c r="M56" s="44" cm="1">
        <f t="array" ref="M56">AVERAGE(D7:D56)</f>
        <v>13531.640546</v>
      </c>
      <c r="N56" s="44" cm="1">
        <f t="array" ref="N56">M56-F56</f>
        <v>4.6e-05</v>
      </c>
      <c r="O56" s="43" cm="1">
        <f t="array" ref="O56">IF(AVERAGE(J43:J56)=0,100,100-100/(1+AVERAGE(I43:I56)/AVERAGE(J43:J56)))</f>
        <v>73.0550532726203</v>
      </c>
      <c r="P56" s="44" cm="1">
        <f t="array" ref="P56">O56-G56</f>
        <v>-0.0049467273797</v>
      </c>
    </row>
    <row r="57" ht="13.65" customHeight="1">
      <c r="A57" t="s" s="42">
        <v>35</v>
      </c>
      <c r="B57" t="s" s="42">
        <v>117</v>
      </c>
      <c r="C57" s="43">
        <v>14097</v>
      </c>
      <c r="D57" s="44">
        <v>14097</v>
      </c>
      <c r="E57" s="45">
        <v>0.039692</v>
      </c>
      <c r="F57" s="44">
        <v>13553.651</v>
      </c>
      <c r="G57" s="43">
        <v>72.63</v>
      </c>
      <c r="H57" s="44" cm="1">
        <f t="array" ref="H57">D57-D56</f>
        <v>60</v>
      </c>
      <c r="I57" s="44" cm="1">
        <f t="array" ref="I57">MAX(H57,0)</f>
        <v>60</v>
      </c>
      <c r="J57" s="44" cm="1">
        <f t="array" ref="J57">MAX(-H57,0)</f>
        <v>0</v>
      </c>
      <c r="K57" s="45" cm="1">
        <f t="array" ref="K57">D57/D37-1</f>
        <v>0.0396916234965764</v>
      </c>
      <c r="L57" s="45" cm="1">
        <f t="array" ref="L57">K57-E57</f>
        <v>-3.765034236e-07</v>
      </c>
      <c r="M57" s="44" cm="1">
        <f t="array" ref="M57">AVERAGE(D8:D57)</f>
        <v>13553.651034</v>
      </c>
      <c r="N57" s="44" cm="1">
        <f t="array" ref="N57">M57-F57</f>
        <v>3.4e-05</v>
      </c>
      <c r="O57" s="43" cm="1">
        <f t="array" ref="O57">IF(AVERAGE(J44:J57)=0,100,100-100/(1+AVERAGE(I44:I57)/AVERAGE(J44:J57)))</f>
        <v>72.6293274052224</v>
      </c>
      <c r="P57" s="44" cm="1">
        <f t="array" ref="P57">O57-G57</f>
        <v>-0.0006725947776</v>
      </c>
    </row>
    <row r="58" ht="13.65" customHeight="1">
      <c r="A58" t="s" s="42">
        <v>35</v>
      </c>
      <c r="B58" t="s" s="42">
        <v>118</v>
      </c>
      <c r="C58" s="43">
        <v>13990</v>
      </c>
      <c r="D58" s="44">
        <v>13990</v>
      </c>
      <c r="E58" s="45">
        <v>0.047557</v>
      </c>
      <c r="F58" s="44">
        <v>13577.1055</v>
      </c>
      <c r="G58" s="43">
        <v>69.87</v>
      </c>
      <c r="H58" s="44" cm="1">
        <f t="array" ref="H58">D58-D57</f>
        <v>-107</v>
      </c>
      <c r="I58" s="44" cm="1">
        <f t="array" ref="I58">MAX(H58,0)</f>
        <v>0</v>
      </c>
      <c r="J58" s="44" cm="1">
        <f t="array" ref="J58">MAX(-H58,0)</f>
        <v>107</v>
      </c>
      <c r="K58" s="45" cm="1">
        <f t="array" ref="K58">D58/D38-1</f>
        <v>0.0475574614096005</v>
      </c>
      <c r="L58" s="45" cm="1">
        <f t="array" ref="L58">K58-E58</f>
        <v>4.614096005e-07</v>
      </c>
      <c r="M58" s="44" cm="1">
        <f t="array" ref="M58">AVERAGE(D9:D58)</f>
        <v>13577.105526</v>
      </c>
      <c r="N58" s="44" cm="1">
        <f t="array" ref="N58">M58-F58</f>
        <v>2.6e-05</v>
      </c>
      <c r="O58" s="43" cm="1">
        <f t="array" ref="O58">IF(AVERAGE(J45:J58)=0,100,100-100/(1+AVERAGE(I45:I58)/AVERAGE(J45:J58)))</f>
        <v>69.865697655331</v>
      </c>
      <c r="P58" s="44" cm="1">
        <f t="array" ref="P58">O58-G58</f>
        <v>-0.004302344669</v>
      </c>
    </row>
    <row r="59" ht="13.65" customHeight="1">
      <c r="A59" t="s" s="42">
        <v>35</v>
      </c>
      <c r="B59" t="s" s="42">
        <v>119</v>
      </c>
      <c r="C59" s="43">
        <v>13875</v>
      </c>
      <c r="D59" s="44">
        <v>13875</v>
      </c>
      <c r="E59" s="45">
        <v>0.031756</v>
      </c>
      <c r="F59" s="44">
        <v>13596.7551</v>
      </c>
      <c r="G59" s="43">
        <v>71.11</v>
      </c>
      <c r="H59" s="44" cm="1">
        <f t="array" ref="H59">D59-D58</f>
        <v>-115</v>
      </c>
      <c r="I59" s="44" cm="1">
        <f t="array" ref="I59">MAX(H59,0)</f>
        <v>0</v>
      </c>
      <c r="J59" s="44" cm="1">
        <f t="array" ref="J59">MAX(-H59,0)</f>
        <v>115</v>
      </c>
      <c r="K59" s="45" cm="1">
        <f t="array" ref="K59">D59/D39-1</f>
        <v>0.0317564292777183</v>
      </c>
      <c r="L59" s="45" cm="1">
        <f t="array" ref="L59">K59-E59</f>
        <v>4.292777183e-07</v>
      </c>
      <c r="M59" s="44" cm="1">
        <f t="array" ref="M59">AVERAGE(D10:D59)</f>
        <v>13596.755136</v>
      </c>
      <c r="N59" s="44" cm="1">
        <f t="array" ref="N59">M59-F59</f>
        <v>3.6e-05</v>
      </c>
      <c r="O59" s="43" cm="1">
        <f t="array" ref="O59">IF(AVERAGE(J46:J59)=0,100,100-100/(1+AVERAGE(I46:I59)/AVERAGE(J46:J59)))</f>
        <v>71.1128739610797</v>
      </c>
      <c r="P59" s="44" cm="1">
        <f t="array" ref="P59">O59-G59</f>
        <v>0.0028739610797</v>
      </c>
    </row>
    <row r="60" ht="13.65" customHeight="1">
      <c r="A60" t="s" s="42">
        <v>35</v>
      </c>
      <c r="B60" t="s" s="42">
        <v>120</v>
      </c>
      <c r="C60" s="43">
        <v>13905</v>
      </c>
      <c r="D60" s="44">
        <v>13905</v>
      </c>
      <c r="E60" s="45">
        <v>0.018983</v>
      </c>
      <c r="F60" s="44">
        <v>13616.5691</v>
      </c>
      <c r="G60" s="43">
        <v>70.94</v>
      </c>
      <c r="H60" s="44" cm="1">
        <f t="array" ref="H60">D60-D59</f>
        <v>30</v>
      </c>
      <c r="I60" s="44" cm="1">
        <f t="array" ref="I60">MAX(H60,0)</f>
        <v>30</v>
      </c>
      <c r="J60" s="44" cm="1">
        <f t="array" ref="J60">MAX(-H60,0)</f>
        <v>0</v>
      </c>
      <c r="K60" s="45" cm="1">
        <f t="array" ref="K60">D60/D40-1</f>
        <v>0.0189834230047295</v>
      </c>
      <c r="L60" s="45" cm="1">
        <f t="array" ref="L60">K60-E60</f>
        <v>4.230047295e-07</v>
      </c>
      <c r="M60" s="44" cm="1">
        <f t="array" ref="M60">AVERAGE(D11:D60)</f>
        <v>13616.56912</v>
      </c>
      <c r="N60" s="44" cm="1">
        <f t="array" ref="N60">M60-F60</f>
        <v>2e-05</v>
      </c>
      <c r="O60" s="43" cm="1">
        <f t="array" ref="O60">IF(AVERAGE(J47:J60)=0,100,100-100/(1+AVERAGE(I47:I60)/AVERAGE(J47:J60)))</f>
        <v>70.9382615987605</v>
      </c>
      <c r="P60" s="44" cm="1">
        <f t="array" ref="P60">O60-G60</f>
        <v>-0.0017384012395</v>
      </c>
    </row>
    <row r="61" ht="13.65" customHeight="1">
      <c r="A61" t="s" s="42">
        <v>35</v>
      </c>
      <c r="B61" t="s" s="42">
        <v>121</v>
      </c>
      <c r="C61" s="43">
        <v>13834</v>
      </c>
      <c r="D61" s="44">
        <v>13834</v>
      </c>
      <c r="E61" s="45">
        <v>0.012312</v>
      </c>
      <c r="F61" s="44">
        <v>13634.5671</v>
      </c>
      <c r="G61" s="43">
        <v>59.93</v>
      </c>
      <c r="H61" s="44" cm="1">
        <f t="array" ref="H61">D61-D60</f>
        <v>-71</v>
      </c>
      <c r="I61" s="44" cm="1">
        <f t="array" ref="I61">MAX(H61,0)</f>
        <v>0</v>
      </c>
      <c r="J61" s="44" cm="1">
        <f t="array" ref="J61">MAX(-H61,0)</f>
        <v>71</v>
      </c>
      <c r="K61" s="45" cm="1">
        <f t="array" ref="K61">D61/D41-1</f>
        <v>0.0123115125027972</v>
      </c>
      <c r="L61" s="45" cm="1">
        <f t="array" ref="L61">K61-E61</f>
        <v>-4.874972028e-07</v>
      </c>
      <c r="M61" s="44" cm="1">
        <f t="array" ref="M61">AVERAGE(D12:D61)</f>
        <v>13634.56707</v>
      </c>
      <c r="N61" s="44" cm="1">
        <f t="array" ref="N61">M61-F61</f>
        <v>-3e-05</v>
      </c>
      <c r="O61" s="43" cm="1">
        <f t="array" ref="O61">IF(AVERAGE(J48:J61)=0,100,100-100/(1+AVERAGE(I48:I61)/AVERAGE(J48:J61)))</f>
        <v>59.9333868632709</v>
      </c>
      <c r="P61" s="44" cm="1">
        <f t="array" ref="P61">O61-G61</f>
        <v>0.0033868632709</v>
      </c>
    </row>
    <row r="62" ht="13.65" customHeight="1">
      <c r="A62" t="s" s="42">
        <v>35</v>
      </c>
      <c r="B62" t="s" s="42">
        <v>122</v>
      </c>
      <c r="C62" s="43">
        <v>13760</v>
      </c>
      <c r="D62" s="44">
        <v>13760</v>
      </c>
      <c r="E62" s="45">
        <v>0.028429</v>
      </c>
      <c r="F62" s="44">
        <v>13651.3622</v>
      </c>
      <c r="G62" s="43">
        <v>53.92</v>
      </c>
      <c r="H62" s="44" cm="1">
        <f t="array" ref="H62">D62-D61</f>
        <v>-74</v>
      </c>
      <c r="I62" s="44" cm="1">
        <f t="array" ref="I62">MAX(H62,0)</f>
        <v>0</v>
      </c>
      <c r="J62" s="44" cm="1">
        <f t="array" ref="J62">MAX(-H62,0)</f>
        <v>74</v>
      </c>
      <c r="K62" s="45" cm="1">
        <f t="array" ref="K62">D62/D42-1</f>
        <v>0.028429198692439</v>
      </c>
      <c r="L62" s="45" cm="1">
        <f t="array" ref="L62">K62-E62</f>
        <v>1.98692439e-07</v>
      </c>
      <c r="M62" s="44" cm="1">
        <f t="array" ref="M62">AVERAGE(D13:D62)</f>
        <v>13651.362246</v>
      </c>
      <c r="N62" s="44" cm="1">
        <f t="array" ref="N62">M62-F62</f>
        <v>4.6e-05</v>
      </c>
      <c r="O62" s="43" cm="1">
        <f t="array" ref="O62">IF(AVERAGE(J49:J62)=0,100,100-100/(1+AVERAGE(I49:I62)/AVERAGE(J49:J62)))</f>
        <v>53.9244254206168</v>
      </c>
      <c r="P62" s="44" cm="1">
        <f t="array" ref="P62">O62-G62</f>
        <v>0.0044254206168</v>
      </c>
    </row>
    <row r="63" ht="13.65" customHeight="1">
      <c r="A63" t="s" s="42">
        <v>35</v>
      </c>
      <c r="B63" t="s" s="42">
        <v>123</v>
      </c>
      <c r="C63" s="43">
        <v>13691</v>
      </c>
      <c r="D63" s="44">
        <v>13691</v>
      </c>
      <c r="E63" s="45">
        <v>0.017026</v>
      </c>
      <c r="F63" s="44">
        <v>13669.51</v>
      </c>
      <c r="G63" s="43">
        <v>44.8</v>
      </c>
      <c r="H63" s="44" cm="1">
        <f t="array" ref="H63">D63-D62</f>
        <v>-69</v>
      </c>
      <c r="I63" s="44" cm="1">
        <f t="array" ref="I63">MAX(H63,0)</f>
        <v>0</v>
      </c>
      <c r="J63" s="44" cm="1">
        <f t="array" ref="J63">MAX(-H63,0)</f>
        <v>69</v>
      </c>
      <c r="K63" s="45" cm="1">
        <f t="array" ref="K63">D63/D43-1</f>
        <v>0.0170257509419597</v>
      </c>
      <c r="L63" s="45" cm="1">
        <f t="array" ref="L63">K63-E63</f>
        <v>-2.490580403e-07</v>
      </c>
      <c r="M63" s="44" cm="1">
        <f t="array" ref="M63">AVERAGE(D14:D63)</f>
        <v>13669.50998</v>
      </c>
      <c r="N63" s="44" cm="1">
        <f t="array" ref="N63">M63-F63</f>
        <v>-2e-05</v>
      </c>
      <c r="O63" s="43" cm="1">
        <f t="array" ref="O63">IF(AVERAGE(J50:J63)=0,100,100-100/(1+AVERAGE(I50:I63)/AVERAGE(J50:J63)))</f>
        <v>44.8009592996353</v>
      </c>
      <c r="P63" s="44" cm="1">
        <f t="array" ref="P63">O63-G63</f>
        <v>0.0009592996353</v>
      </c>
    </row>
    <row r="64" ht="13.65" customHeight="1">
      <c r="A64" t="s" s="42">
        <v>35</v>
      </c>
      <c r="B64" t="s" s="42">
        <v>124</v>
      </c>
      <c r="C64" s="43">
        <v>13690</v>
      </c>
      <c r="D64" s="44">
        <v>13690</v>
      </c>
      <c r="E64" s="45">
        <v>0.020856</v>
      </c>
      <c r="F64" s="44">
        <v>13683.5191</v>
      </c>
      <c r="G64" s="43">
        <v>30.2</v>
      </c>
      <c r="H64" s="44" cm="1">
        <f t="array" ref="H64">D64-D63</f>
        <v>-1</v>
      </c>
      <c r="I64" s="44" cm="1">
        <f t="array" ref="I64">MAX(H64,0)</f>
        <v>0</v>
      </c>
      <c r="J64" s="44" cm="1">
        <f t="array" ref="J64">MAX(-H64,0)</f>
        <v>1</v>
      </c>
      <c r="K64" s="45" cm="1">
        <f t="array" ref="K64">D64/D44-1</f>
        <v>0.0208556331690029</v>
      </c>
      <c r="L64" s="45" cm="1">
        <f t="array" ref="L64">K64-E64</f>
        <v>-3.668309971e-07</v>
      </c>
      <c r="M64" s="44" cm="1">
        <f t="array" ref="M64">AVERAGE(D15:D64)</f>
        <v>13683.519082</v>
      </c>
      <c r="N64" s="44" cm="1">
        <f t="array" ref="N64">M64-F64</f>
        <v>-1.8e-05</v>
      </c>
      <c r="O64" s="43" cm="1">
        <f t="array" ref="O64">IF(AVERAGE(J51:J64)=0,100,100-100/(1+AVERAGE(I51:I64)/AVERAGE(J51:J64)))</f>
        <v>30.1975617853551</v>
      </c>
      <c r="P64" s="44" cm="1">
        <f t="array" ref="P64">O64-G64</f>
        <v>-0.0024382146449</v>
      </c>
    </row>
    <row r="65" ht="13.65" customHeight="1">
      <c r="A65" t="s" s="42">
        <v>35</v>
      </c>
      <c r="B65" t="s" s="42">
        <v>125</v>
      </c>
      <c r="C65" s="43">
        <v>13809</v>
      </c>
      <c r="D65" s="44">
        <v>13809</v>
      </c>
      <c r="E65" s="45">
        <v>0.040639</v>
      </c>
      <c r="F65" s="44">
        <v>13700.8388</v>
      </c>
      <c r="G65" s="43">
        <v>35.46</v>
      </c>
      <c r="H65" s="44" cm="1">
        <f t="array" ref="H65">D65-D64</f>
        <v>119</v>
      </c>
      <c r="I65" s="44" cm="1">
        <f t="array" ref="I65">MAX(H65,0)</f>
        <v>119</v>
      </c>
      <c r="J65" s="44" cm="1">
        <f t="array" ref="J65">MAX(-H65,0)</f>
        <v>0</v>
      </c>
      <c r="K65" s="45" cm="1">
        <f t="array" ref="K65">D65/D45-1</f>
        <v>0.0406389989174913</v>
      </c>
      <c r="L65" s="45" cm="1">
        <f t="array" ref="L65">K65-E65</f>
        <v>-0.000000001083</v>
      </c>
      <c r="M65" s="44" cm="1">
        <f t="array" ref="M65">AVERAGE(D16:D65)</f>
        <v>13700.838828</v>
      </c>
      <c r="N65" s="44" cm="1">
        <f t="array" ref="N65">M65-F65</f>
        <v>2.8e-05</v>
      </c>
      <c r="O65" s="43" cm="1">
        <f t="array" ref="O65">IF(AVERAGE(J52:J65)=0,100,100-100/(1+AVERAGE(I52:I65)/AVERAGE(J52:J65)))</f>
        <v>35.4582733218026</v>
      </c>
      <c r="P65" s="44" cm="1">
        <f t="array" ref="P65">O65-G65</f>
        <v>-0.0017266781974</v>
      </c>
    </row>
    <row r="66" ht="13.65" customHeight="1">
      <c r="A66" t="s" s="42">
        <v>35</v>
      </c>
      <c r="B66" t="s" s="42">
        <v>126</v>
      </c>
      <c r="C66" s="43">
        <v>13565</v>
      </c>
      <c r="D66" s="44">
        <v>13565</v>
      </c>
      <c r="E66" s="45">
        <v>0.019285</v>
      </c>
      <c r="F66" s="44">
        <v>13712.7836</v>
      </c>
      <c r="G66" s="43">
        <v>30.44</v>
      </c>
      <c r="H66" s="44" cm="1">
        <f t="array" ref="H66">D66-D65</f>
        <v>-244</v>
      </c>
      <c r="I66" s="44" cm="1">
        <f t="array" ref="I66">MAX(H66,0)</f>
        <v>0</v>
      </c>
      <c r="J66" s="44" cm="1">
        <f t="array" ref="J66">MAX(-H66,0)</f>
        <v>244</v>
      </c>
      <c r="K66" s="45" cm="1">
        <f t="array" ref="K66">D66/D46-1</f>
        <v>0.0192853599108253</v>
      </c>
      <c r="L66" s="45" cm="1">
        <f t="array" ref="L66">K66-E66</f>
        <v>3.599108253e-07</v>
      </c>
      <c r="M66" s="44" cm="1">
        <f t="array" ref="M66">AVERAGE(D17:D66)</f>
        <v>13712.783554</v>
      </c>
      <c r="N66" s="44" cm="1">
        <f t="array" ref="N66">M66-F66</f>
        <v>-4.6e-05</v>
      </c>
      <c r="O66" s="43" cm="1">
        <f t="array" ref="O66">IF(AVERAGE(J53:J66)=0,100,100-100/(1+AVERAGE(I53:I66)/AVERAGE(J53:J66)))</f>
        <v>30.4359182805028</v>
      </c>
      <c r="P66" s="44" cm="1">
        <f t="array" ref="P66">O66-G66</f>
        <v>-0.0040817194972</v>
      </c>
    </row>
    <row r="67" ht="13.65" customHeight="1">
      <c r="A67" t="s" s="42">
        <v>35</v>
      </c>
      <c r="B67" t="s" s="42">
        <v>127</v>
      </c>
      <c r="C67" s="43">
        <v>13620</v>
      </c>
      <c r="D67" s="44">
        <v>13620</v>
      </c>
      <c r="E67" s="45">
        <v>0.001951</v>
      </c>
      <c r="F67" s="44">
        <v>13720.5216</v>
      </c>
      <c r="G67" s="43">
        <v>32.64</v>
      </c>
      <c r="H67" s="44" cm="1">
        <f t="array" ref="H67">D67-D66</f>
        <v>55</v>
      </c>
      <c r="I67" s="44" cm="1">
        <f t="array" ref="I67">MAX(H67,0)</f>
        <v>55</v>
      </c>
      <c r="J67" s="44" cm="1">
        <f t="array" ref="J67">MAX(-H67,0)</f>
        <v>0</v>
      </c>
      <c r="K67" s="45" cm="1">
        <f t="array" ref="K67">D67/D47-1</f>
        <v>0.00195089844723726</v>
      </c>
      <c r="L67" s="45" cm="1">
        <f t="array" ref="L67">K67-E67</f>
        <v>-1.0155276274e-07</v>
      </c>
      <c r="M67" s="44" cm="1">
        <f t="array" ref="M67">AVERAGE(D18:D67)</f>
        <v>13720.521562</v>
      </c>
      <c r="N67" s="44" cm="1">
        <f t="array" ref="N67">M67-F67</f>
        <v>-3.8e-05</v>
      </c>
      <c r="O67" s="43" cm="1">
        <f t="array" ref="O67">IF(AVERAGE(J54:J67)=0,100,100-100/(1+AVERAGE(I54:I67)/AVERAGE(J54:J67)))</f>
        <v>32.6413671708249</v>
      </c>
      <c r="P67" s="44" cm="1">
        <f t="array" ref="P67">O67-G67</f>
        <v>0.0013671708249</v>
      </c>
    </row>
    <row r="68" ht="13.65" customHeight="1">
      <c r="A68" t="s" s="42">
        <v>35</v>
      </c>
      <c r="B68" t="s" s="42">
        <v>128</v>
      </c>
      <c r="C68" s="43">
        <v>13678</v>
      </c>
      <c r="D68" s="44">
        <v>13678</v>
      </c>
      <c r="E68" s="45">
        <v>0.000969</v>
      </c>
      <c r="F68" s="44">
        <v>13720.7269</v>
      </c>
      <c r="G68" s="43">
        <v>34.66</v>
      </c>
      <c r="H68" s="44" cm="1">
        <f t="array" ref="H68">D68-D67</f>
        <v>58</v>
      </c>
      <c r="I68" s="44" cm="1">
        <f t="array" ref="I68">MAX(H68,0)</f>
        <v>58</v>
      </c>
      <c r="J68" s="44" cm="1">
        <f t="array" ref="J68">MAX(-H68,0)</f>
        <v>0</v>
      </c>
      <c r="K68" s="45" cm="1">
        <f t="array" ref="K68">D68/D48-1</f>
        <v>0.000968644631593593</v>
      </c>
      <c r="L68" s="45" cm="1">
        <f t="array" ref="L68">K68-E68</f>
        <v>-3.55368406407e-07</v>
      </c>
      <c r="M68" s="44" cm="1">
        <f t="array" ref="M68">AVERAGE(D19:D68)</f>
        <v>13720.726874</v>
      </c>
      <c r="N68" s="44" cm="1">
        <f t="array" ref="N68">M68-F68</f>
        <v>-2.6e-05</v>
      </c>
      <c r="O68" s="43" cm="1">
        <f t="array" ref="O68">IF(AVERAGE(J55:J68)=0,100,100-100/(1+AVERAGE(I55:I68)/AVERAGE(J55:J68)))</f>
        <v>34.6594301526454</v>
      </c>
      <c r="P68" s="44" cm="1">
        <f t="array" ref="P68">O68-G68</f>
        <v>-0.0005698473546</v>
      </c>
    </row>
    <row r="69" ht="13.65" customHeight="1">
      <c r="A69" t="s" s="42">
        <v>35</v>
      </c>
      <c r="B69" t="s" s="42">
        <v>129</v>
      </c>
      <c r="C69" s="43">
        <v>13520</v>
      </c>
      <c r="D69" s="44">
        <v>13520</v>
      </c>
      <c r="E69" s="45">
        <v>-0.020951</v>
      </c>
      <c r="F69" s="44">
        <v>13720.0295</v>
      </c>
      <c r="G69" s="43">
        <v>33.31</v>
      </c>
      <c r="H69" s="44" cm="1">
        <f t="array" ref="H69">D69-D68</f>
        <v>-158</v>
      </c>
      <c r="I69" s="44" cm="1">
        <f t="array" ref="I69">MAX(H69,0)</f>
        <v>0</v>
      </c>
      <c r="J69" s="44" cm="1">
        <f t="array" ref="J69">MAX(-H69,0)</f>
        <v>158</v>
      </c>
      <c r="K69" s="45" cm="1">
        <f t="array" ref="K69">D69/D49-1</f>
        <v>-0.0209505360965653</v>
      </c>
      <c r="L69" s="45" cm="1">
        <f t="array" ref="L69">K69-E69</f>
        <v>4.639034347e-07</v>
      </c>
      <c r="M69" s="44" cm="1">
        <f t="array" ref="M69">AVERAGE(D20:D69)</f>
        <v>13720.02951</v>
      </c>
      <c r="N69" s="44" cm="1">
        <f t="array" ref="N69">M69-F69</f>
        <v>1e-05</v>
      </c>
      <c r="O69" s="43" cm="1">
        <f t="array" ref="O69">IF(AVERAGE(J56:J69)=0,100,100-100/(1+AVERAGE(I56:I69)/AVERAGE(J56:J69)))</f>
        <v>33.3068362480127</v>
      </c>
      <c r="P69" s="44" cm="1">
        <f t="array" ref="P69">O69-G69</f>
        <v>-0.0031637519873</v>
      </c>
    </row>
    <row r="70" ht="13.65" customHeight="1">
      <c r="A70" t="s" s="42">
        <v>35</v>
      </c>
      <c r="B70" t="s" s="42">
        <v>130</v>
      </c>
      <c r="C70" s="43">
        <v>13440</v>
      </c>
      <c r="D70" s="44">
        <v>13440</v>
      </c>
      <c r="E70" s="45">
        <v>-0.043207</v>
      </c>
      <c r="F70" s="44">
        <v>13718.94</v>
      </c>
      <c r="G70" s="43">
        <v>25.95</v>
      </c>
      <c r="H70" s="44" cm="1">
        <f t="array" ref="H70">D70-D69</f>
        <v>-80</v>
      </c>
      <c r="I70" s="44" cm="1">
        <f t="array" ref="I70">MAX(H70,0)</f>
        <v>0</v>
      </c>
      <c r="J70" s="44" cm="1">
        <f t="array" ref="J70">MAX(-H70,0)</f>
        <v>80</v>
      </c>
      <c r="K70" s="45" cm="1">
        <f t="array" ref="K70">D70/D50-1</f>
        <v>-0.0432070197167269</v>
      </c>
      <c r="L70" s="45" cm="1">
        <f t="array" ref="L70">K70-E70</f>
        <v>-1.97167269e-08</v>
      </c>
      <c r="M70" s="44" cm="1">
        <f t="array" ref="M70">AVERAGE(D21:D70)</f>
        <v>13718.940018</v>
      </c>
      <c r="N70" s="44" cm="1">
        <f t="array" ref="N70">M70-F70</f>
        <v>1.8e-05</v>
      </c>
      <c r="O70" s="43" cm="1">
        <f t="array" ref="O70">IF(AVERAGE(J57:J70)=0,100,100-100/(1+AVERAGE(I57:I70)/AVERAGE(J57:J70)))</f>
        <v>25.9468170829976</v>
      </c>
      <c r="P70" s="44" cm="1">
        <f t="array" ref="P70">O70-G70</f>
        <v>-0.0031829170024</v>
      </c>
    </row>
    <row r="71" ht="13.65" customHeight="1">
      <c r="A71" t="s" s="42">
        <v>35</v>
      </c>
      <c r="B71" t="s" s="42">
        <v>131</v>
      </c>
      <c r="C71" s="43">
        <v>13376</v>
      </c>
      <c r="D71" s="44">
        <v>13376</v>
      </c>
      <c r="E71" s="45">
        <v>-0.050841</v>
      </c>
      <c r="F71" s="44">
        <v>13719.4615</v>
      </c>
      <c r="G71" s="43">
        <v>21.04</v>
      </c>
      <c r="H71" s="44" cm="1">
        <f t="array" ref="H71">D71-D70</f>
        <v>-64</v>
      </c>
      <c r="I71" s="44" cm="1">
        <f t="array" ref="I71">MAX(H71,0)</f>
        <v>0</v>
      </c>
      <c r="J71" s="44" cm="1">
        <f t="array" ref="J71">MAX(-H71,0)</f>
        <v>64</v>
      </c>
      <c r="K71" s="45" cm="1">
        <f t="array" ref="K71">D71/D51-1</f>
        <v>-0.0508405454124546</v>
      </c>
      <c r="L71" s="45" cm="1">
        <f t="array" ref="L71">K71-E71</f>
        <v>4.545875454e-07</v>
      </c>
      <c r="M71" s="44" cm="1">
        <f t="array" ref="M71">AVERAGE(D22:D71)</f>
        <v>13719.461502</v>
      </c>
      <c r="N71" s="44" cm="1">
        <f t="array" ref="N71">M71-F71</f>
        <v>2e-06</v>
      </c>
      <c r="O71" s="43" cm="1">
        <f t="array" ref="O71">IF(AVERAGE(J58:J71)=0,100,100-100/(1+AVERAGE(I58:I71)/AVERAGE(J58:J71)))</f>
        <v>21.0441767068273</v>
      </c>
      <c r="P71" s="44" cm="1">
        <f t="array" ref="P71">O71-G71</f>
        <v>0.0041767068273</v>
      </c>
    </row>
    <row r="72" ht="13.65" customHeight="1">
      <c r="A72" t="s" s="42">
        <v>35</v>
      </c>
      <c r="B72" t="s" s="42">
        <v>132</v>
      </c>
      <c r="C72" s="43">
        <v>13547</v>
      </c>
      <c r="D72" s="44">
        <v>13547</v>
      </c>
      <c r="E72" s="45">
        <v>-0.033</v>
      </c>
      <c r="F72" s="44">
        <v>13725.1653</v>
      </c>
      <c r="G72" s="43">
        <v>33.08</v>
      </c>
      <c r="H72" s="44" cm="1">
        <f t="array" ref="H72">D72-D71</f>
        <v>171</v>
      </c>
      <c r="I72" s="44" cm="1">
        <f t="array" ref="I72">MAX(H72,0)</f>
        <v>171</v>
      </c>
      <c r="J72" s="44" cm="1">
        <f t="array" ref="J72">MAX(-H72,0)</f>
        <v>0</v>
      </c>
      <c r="K72" s="45" cm="1">
        <f t="array" ref="K72">D72/D52-1</f>
        <v>-0.0329997628647311</v>
      </c>
      <c r="L72" s="45" cm="1">
        <f t="array" ref="L72">K72-E72</f>
        <v>2.371352689e-07</v>
      </c>
      <c r="M72" s="44" cm="1">
        <f t="array" ref="M72">AVERAGE(D23:D72)</f>
        <v>13725.165292</v>
      </c>
      <c r="N72" s="44" cm="1">
        <f t="array" ref="N72">M72-F72</f>
        <v>-8e-06</v>
      </c>
      <c r="O72" s="43" cm="1">
        <f t="array" ref="O72">IF(AVERAGE(J59:J72)=0,100,100-100/(1+AVERAGE(I59:I72)/AVERAGE(J59:J72)))</f>
        <v>33.0786860198625</v>
      </c>
      <c r="P72" s="44" cm="1">
        <f t="array" ref="P72">O72-G72</f>
        <v>-0.0013139801375</v>
      </c>
    </row>
    <row r="73" ht="13.65" customHeight="1">
      <c r="A73" t="s" s="42">
        <v>35</v>
      </c>
      <c r="B73" t="s" s="42">
        <v>133</v>
      </c>
      <c r="C73" s="43">
        <v>12950</v>
      </c>
      <c r="D73" s="44">
        <v>12950</v>
      </c>
      <c r="E73" s="45">
        <v>-0.076789</v>
      </c>
      <c r="F73" s="44">
        <v>13718.4142</v>
      </c>
      <c r="G73" s="43">
        <v>24.18</v>
      </c>
      <c r="H73" s="44" cm="1">
        <f t="array" ref="H73">D73-D72</f>
        <v>-597</v>
      </c>
      <c r="I73" s="44" cm="1">
        <f t="array" ref="I73">MAX(H73,0)</f>
        <v>0</v>
      </c>
      <c r="J73" s="44" cm="1">
        <f t="array" ref="J73">MAX(-H73,0)</f>
        <v>597</v>
      </c>
      <c r="K73" s="45" cm="1">
        <f t="array" ref="K73">D73/D53-1</f>
        <v>-0.0767887218514129</v>
      </c>
      <c r="L73" s="45" cm="1">
        <f t="array" ref="L73">K73-E73</f>
        <v>2.781485871e-07</v>
      </c>
      <c r="M73" s="44" cm="1">
        <f t="array" ref="M73">AVERAGE(D24:D73)</f>
        <v>13718.414238</v>
      </c>
      <c r="N73" s="44" cm="1">
        <f t="array" ref="N73">M73-F73</f>
        <v>3.8e-05</v>
      </c>
      <c r="O73" s="43" cm="1">
        <f t="array" ref="O73">IF(AVERAGE(J60:J73)=0,100,100-100/(1+AVERAGE(I60:I73)/AVERAGE(J60:J73)))</f>
        <v>24.1764377442769</v>
      </c>
      <c r="P73" s="44" cm="1">
        <f t="array" ref="P73">O73-G73</f>
        <v>-0.0035622557231</v>
      </c>
    </row>
    <row r="74" ht="13.65" customHeight="1">
      <c r="A74" t="s" s="42">
        <v>35</v>
      </c>
      <c r="B74" t="s" s="42">
        <v>134</v>
      </c>
      <c r="C74" s="43">
        <v>12849</v>
      </c>
      <c r="D74" s="44">
        <v>12849</v>
      </c>
      <c r="E74" s="45">
        <v>-0.085409</v>
      </c>
      <c r="F74" s="44">
        <v>13709.0492</v>
      </c>
      <c r="G74" s="43">
        <v>21.64</v>
      </c>
      <c r="H74" s="44" cm="1">
        <f t="array" ref="H74">D74-D73</f>
        <v>-101</v>
      </c>
      <c r="I74" s="44" cm="1">
        <f t="array" ref="I74">MAX(H74,0)</f>
        <v>0</v>
      </c>
      <c r="J74" s="44" cm="1">
        <f t="array" ref="J74">MAX(-H74,0)</f>
        <v>101</v>
      </c>
      <c r="K74" s="45" cm="1">
        <f t="array" ref="K74">D74/D54-1</f>
        <v>-0.0854092256662657</v>
      </c>
      <c r="L74" s="45" cm="1">
        <f t="array" ref="L74">K74-E74</f>
        <v>-2.256662657e-07</v>
      </c>
      <c r="M74" s="44" cm="1">
        <f t="array" ref="M74">AVERAGE(D25:D74)</f>
        <v>13709.04916</v>
      </c>
      <c r="N74" s="44" cm="1">
        <f t="array" ref="N74">M74-F74</f>
        <v>-4e-05</v>
      </c>
      <c r="O74" s="43" cm="1">
        <f t="array" ref="O74">IF(AVERAGE(J61:J74)=0,100,100-100/(1+AVERAGE(I61:I74)/AVERAGE(J61:J74)))</f>
        <v>21.6433941997852</v>
      </c>
      <c r="P74" s="44" cm="1">
        <f t="array" ref="P74">O74-G74</f>
        <v>0.0033941997852</v>
      </c>
    </row>
    <row r="75" ht="13.65" customHeight="1">
      <c r="A75" t="s" s="42">
        <v>35</v>
      </c>
      <c r="B75" t="s" s="42">
        <v>135</v>
      </c>
      <c r="C75" s="43">
        <v>12857</v>
      </c>
      <c r="D75" s="44">
        <v>12857</v>
      </c>
      <c r="E75" s="45">
        <v>-0.07769</v>
      </c>
      <c r="F75" s="44">
        <v>13703.8637</v>
      </c>
      <c r="G75" s="43">
        <v>22.85</v>
      </c>
      <c r="H75" s="44" cm="1">
        <f t="array" ref="H75">D75-D74</f>
        <v>8</v>
      </c>
      <c r="I75" s="44" cm="1">
        <f t="array" ref="I75">MAX(H75,0)</f>
        <v>8</v>
      </c>
      <c r="J75" s="44" cm="1">
        <f t="array" ref="J75">MAX(-H75,0)</f>
        <v>0</v>
      </c>
      <c r="K75" s="45" cm="1">
        <f t="array" ref="K75">D75/D55-1</f>
        <v>-0.0776901004304161</v>
      </c>
      <c r="L75" s="45" cm="1">
        <f t="array" ref="L75">K75-E75</f>
        <v>-1.004304161e-07</v>
      </c>
      <c r="M75" s="44" cm="1">
        <f t="array" ref="M75">AVERAGE(D26:D75)</f>
        <v>13703.86371</v>
      </c>
      <c r="N75" s="44" cm="1">
        <f t="array" ref="N75">M75-F75</f>
        <v>1e-05</v>
      </c>
      <c r="O75" s="43" cm="1">
        <f t="array" ref="O75">IF(AVERAGE(J62:J75)=0,100,100-100/(1+AVERAGE(I62:I75)/AVERAGE(J62:J75)))</f>
        <v>22.846025569761</v>
      </c>
      <c r="P75" s="44" cm="1">
        <f t="array" ref="P75">O75-G75</f>
        <v>-0.003974430239</v>
      </c>
    </row>
    <row r="76" ht="13.65" customHeight="1">
      <c r="A76" t="s" s="42">
        <v>35</v>
      </c>
      <c r="B76" t="s" s="42">
        <v>136</v>
      </c>
      <c r="C76" s="43">
        <v>12694</v>
      </c>
      <c r="D76" s="44">
        <v>12694</v>
      </c>
      <c r="E76" s="45">
        <v>-0.095676</v>
      </c>
      <c r="F76" s="44">
        <v>13685.5771</v>
      </c>
      <c r="G76" s="43">
        <v>21.77</v>
      </c>
      <c r="H76" s="44" cm="1">
        <f t="array" ref="H76">D76-D75</f>
        <v>-163</v>
      </c>
      <c r="I76" s="44" cm="1">
        <f t="array" ref="I76">MAX(H76,0)</f>
        <v>0</v>
      </c>
      <c r="J76" s="44" cm="1">
        <f t="array" ref="J76">MAX(-H76,0)</f>
        <v>163</v>
      </c>
      <c r="K76" s="45" cm="1">
        <f t="array" ref="K76">D76/D56-1</f>
        <v>-0.0956757141839424</v>
      </c>
      <c r="L76" s="45" cm="1">
        <f t="array" ref="L76">K76-E76</f>
        <v>2.858160576e-07</v>
      </c>
      <c r="M76" s="44" cm="1">
        <f t="array" ref="M76">AVERAGE(D27:D76)</f>
        <v>13685.577088</v>
      </c>
      <c r="N76" s="44" cm="1">
        <f t="array" ref="N76">M76-F76</f>
        <v>-1.2e-05</v>
      </c>
      <c r="O76" s="43" cm="1">
        <f t="array" ref="O76">IF(AVERAGE(J63:J76)=0,100,100-100/(1+AVERAGE(I63:I76)/AVERAGE(J63:J76)))</f>
        <v>21.7690677966102</v>
      </c>
      <c r="P76" s="44" cm="1">
        <f t="array" ref="P76">O76-G76</f>
        <v>-0.0009322033898000001</v>
      </c>
    </row>
    <row r="77" ht="13.65" customHeight="1">
      <c r="A77" t="s" s="42">
        <v>35</v>
      </c>
      <c r="B77" t="s" s="42">
        <v>137</v>
      </c>
      <c r="C77" s="43">
        <v>12760</v>
      </c>
      <c r="D77" s="44">
        <v>12760</v>
      </c>
      <c r="E77" s="45">
        <v>-0.094843</v>
      </c>
      <c r="F77" s="44">
        <v>13675.2043</v>
      </c>
      <c r="G77" s="43">
        <v>25.31</v>
      </c>
      <c r="H77" s="44" cm="1">
        <f t="array" ref="H77">D77-D76</f>
        <v>66</v>
      </c>
      <c r="I77" s="44" cm="1">
        <f t="array" ref="I77">MAX(H77,0)</f>
        <v>66</v>
      </c>
      <c r="J77" s="44" cm="1">
        <f t="array" ref="J77">MAX(-H77,0)</f>
        <v>0</v>
      </c>
      <c r="K77" s="45" cm="1">
        <f t="array" ref="K77">D77/D57-1</f>
        <v>-0.0948428743704334</v>
      </c>
      <c r="L77" s="45" cm="1">
        <f t="array" ref="L77">K77-E77</f>
        <v>1.256295666e-07</v>
      </c>
      <c r="M77" s="44" cm="1">
        <f t="array" ref="M77">AVERAGE(D28:D77)</f>
        <v>13675.204256</v>
      </c>
      <c r="N77" s="44" cm="1">
        <f t="array" ref="N77">M77-F77</f>
        <v>-4.4e-05</v>
      </c>
      <c r="O77" s="43" cm="1">
        <f t="array" ref="O77">IF(AVERAGE(J64:J77)=0,100,100-100/(1+AVERAGE(I64:I77)/AVERAGE(J64:J77)))</f>
        <v>25.3050397877984</v>
      </c>
      <c r="P77" s="44" cm="1">
        <f t="array" ref="P77">O77-G77</f>
        <v>-0.0049602122016</v>
      </c>
    </row>
    <row r="78" ht="13.65" customHeight="1">
      <c r="A78" t="s" s="42">
        <v>35</v>
      </c>
      <c r="B78" t="s" s="42">
        <v>138</v>
      </c>
      <c r="C78" s="43">
        <v>12641</v>
      </c>
      <c r="D78" s="44">
        <v>12641</v>
      </c>
      <c r="E78" s="45">
        <v>-0.096426</v>
      </c>
      <c r="F78" s="44">
        <v>13648.5312</v>
      </c>
      <c r="G78" s="43">
        <v>23.81</v>
      </c>
      <c r="H78" s="44" cm="1">
        <f t="array" ref="H78">D78-D77</f>
        <v>-119</v>
      </c>
      <c r="I78" s="44" cm="1">
        <f t="array" ref="I78">MAX(H78,0)</f>
        <v>0</v>
      </c>
      <c r="J78" s="44" cm="1">
        <f t="array" ref="J78">MAX(-H78,0)</f>
        <v>119</v>
      </c>
      <c r="K78" s="45" cm="1">
        <f t="array" ref="K78">D78/D58-1</f>
        <v>-0.0964260185847034</v>
      </c>
      <c r="L78" s="45" cm="1">
        <f t="array" ref="L78">K78-E78</f>
        <v>-1.85847034e-08</v>
      </c>
      <c r="M78" s="44" cm="1">
        <f t="array" ref="M78">AVERAGE(D29:D78)</f>
        <v>13648.53121</v>
      </c>
      <c r="N78" s="44" cm="1">
        <f t="array" ref="N78">M78-F78</f>
        <v>1e-05</v>
      </c>
      <c r="O78" s="43" cm="1">
        <f t="array" ref="O78">IF(AVERAGE(J65:J78)=0,100,100-100/(1+AVERAGE(I65:I78)/AVERAGE(J65:J78)))</f>
        <v>23.8142785821268</v>
      </c>
      <c r="P78" s="44" cm="1">
        <f t="array" ref="P78">O78-G78</f>
        <v>0.0042785821268</v>
      </c>
    </row>
    <row r="79" ht="13.65" customHeight="1">
      <c r="A79" t="s" s="42">
        <v>35</v>
      </c>
      <c r="B79" t="s" s="42">
        <v>139</v>
      </c>
      <c r="C79" s="43">
        <v>12618</v>
      </c>
      <c r="D79" s="44">
        <v>12618</v>
      </c>
      <c r="E79" s="45">
        <v>-0.09059499999999999</v>
      </c>
      <c r="F79" s="44">
        <v>13615.8538</v>
      </c>
      <c r="G79" s="43">
        <v>18.77</v>
      </c>
      <c r="H79" s="44" cm="1">
        <f t="array" ref="H79">D79-D78</f>
        <v>-23</v>
      </c>
      <c r="I79" s="44" cm="1">
        <f t="array" ref="I79">MAX(H79,0)</f>
        <v>0</v>
      </c>
      <c r="J79" s="44" cm="1">
        <f t="array" ref="J79">MAX(-H79,0)</f>
        <v>23</v>
      </c>
      <c r="K79" s="45" cm="1">
        <f t="array" ref="K79">D79/D59-1</f>
        <v>-0.0905945945945946</v>
      </c>
      <c r="L79" s="45" cm="1">
        <f t="array" ref="L79">K79-E79</f>
        <v>4.054054054e-07</v>
      </c>
      <c r="M79" s="44" cm="1">
        <f t="array" ref="M79">AVERAGE(D30:D79)</f>
        <v>13615.853846</v>
      </c>
      <c r="N79" s="44" cm="1">
        <f t="array" ref="N79">M79-F79</f>
        <v>4.6e-05</v>
      </c>
      <c r="O79" s="43" cm="1">
        <f t="array" ref="O79">IF(AVERAGE(J66:J79)=0,100,100-100/(1+AVERAGE(I66:I79)/AVERAGE(J66:J79)))</f>
        <v>18.7729417933928</v>
      </c>
      <c r="P79" s="44" cm="1">
        <f t="array" ref="P79">O79-G79</f>
        <v>0.0029417933928</v>
      </c>
    </row>
    <row r="80" ht="13.65" customHeight="1">
      <c r="A80" t="s" s="42">
        <v>35</v>
      </c>
      <c r="B80" t="s" s="42">
        <v>140</v>
      </c>
      <c r="C80" s="43">
        <v>12590</v>
      </c>
      <c r="D80" s="44">
        <v>12590</v>
      </c>
      <c r="E80" s="45">
        <v>-0.09457</v>
      </c>
      <c r="F80" s="44">
        <v>13583.5471</v>
      </c>
      <c r="G80" s="43">
        <v>21.17</v>
      </c>
      <c r="H80" s="44" cm="1">
        <f t="array" ref="H80">D80-D79</f>
        <v>-28</v>
      </c>
      <c r="I80" s="44" cm="1">
        <f t="array" ref="I80">MAX(H80,0)</f>
        <v>0</v>
      </c>
      <c r="J80" s="44" cm="1">
        <f t="array" ref="J80">MAX(-H80,0)</f>
        <v>28</v>
      </c>
      <c r="K80" s="45" cm="1">
        <f t="array" ref="K80">D80/D60-1</f>
        <v>-0.0945702984537936</v>
      </c>
      <c r="L80" s="45" cm="1">
        <f t="array" ref="L80">K80-E80</f>
        <v>-2.984537936e-07</v>
      </c>
      <c r="M80" s="44" cm="1">
        <f t="array" ref="M80">AVERAGE(D31:D80)</f>
        <v>13583.547146</v>
      </c>
      <c r="N80" s="44" cm="1">
        <f t="array" ref="N80">M80-F80</f>
        <v>4.6e-05</v>
      </c>
      <c r="O80" s="43" cm="1">
        <f t="array" ref="O80">IF(AVERAGE(J67:J80)=0,100,100-100/(1+AVERAGE(I67:I80)/AVERAGE(J67:J80)))</f>
        <v>21.1709047900651</v>
      </c>
      <c r="P80" s="44" cm="1">
        <f t="array" ref="P80">O80-G80</f>
        <v>0.0009047900651</v>
      </c>
    </row>
    <row r="81" ht="13.65" customHeight="1">
      <c r="A81" t="s" s="42">
        <v>35</v>
      </c>
      <c r="B81" t="s" s="42">
        <v>141</v>
      </c>
      <c r="C81" s="43">
        <v>12400</v>
      </c>
      <c r="D81" s="44">
        <v>12400</v>
      </c>
      <c r="E81" s="45">
        <v>-0.103658</v>
      </c>
      <c r="F81" s="44">
        <v>13547.084</v>
      </c>
      <c r="G81" s="43">
        <v>16.59</v>
      </c>
      <c r="H81" s="44" cm="1">
        <f t="array" ref="H81">D81-D80</f>
        <v>-190</v>
      </c>
      <c r="I81" s="44" cm="1">
        <f t="array" ref="I81">MAX(H81,0)</f>
        <v>0</v>
      </c>
      <c r="J81" s="44" cm="1">
        <f t="array" ref="J81">MAX(-H81,0)</f>
        <v>190</v>
      </c>
      <c r="K81" s="45" cm="1">
        <f t="array" ref="K81">D81/D61-1</f>
        <v>-0.103657655052769</v>
      </c>
      <c r="L81" s="45" cm="1">
        <f t="array" ref="L81">K81-E81</f>
        <v>3.44947231e-07</v>
      </c>
      <c r="M81" s="44" cm="1">
        <f t="array" ref="M81">AVERAGE(D32:D81)</f>
        <v>13547.084022</v>
      </c>
      <c r="N81" s="44" cm="1">
        <f t="array" ref="N81">M81-F81</f>
        <v>2.2e-05</v>
      </c>
      <c r="O81" s="43" cm="1">
        <f t="array" ref="O81">IF(AVERAGE(J68:J81)=0,100,100-100/(1+AVERAGE(I68:I81)/AVERAGE(J68:J81)))</f>
        <v>16.5936473165389</v>
      </c>
      <c r="P81" s="44" cm="1">
        <f t="array" ref="P81">O81-G81</f>
        <v>0.0036473165389</v>
      </c>
    </row>
    <row r="82" ht="13.65" customHeight="1">
      <c r="A82" t="s" s="42">
        <v>35</v>
      </c>
      <c r="B82" t="s" s="42">
        <v>142</v>
      </c>
      <c r="C82" s="43">
        <v>12231</v>
      </c>
      <c r="D82" s="44">
        <v>12231</v>
      </c>
      <c r="E82" s="45">
        <v>-0.111119</v>
      </c>
      <c r="F82" s="44">
        <v>13505.4588</v>
      </c>
      <c r="G82" s="43">
        <v>12.65</v>
      </c>
      <c r="H82" s="44" cm="1">
        <f t="array" ref="H82">D82-D81</f>
        <v>-169</v>
      </c>
      <c r="I82" s="44" cm="1">
        <f t="array" ref="I82">MAX(H82,0)</f>
        <v>0</v>
      </c>
      <c r="J82" s="44" cm="1">
        <f t="array" ref="J82">MAX(-H82,0)</f>
        <v>169</v>
      </c>
      <c r="K82" s="45" cm="1">
        <f t="array" ref="K82">D82/D62-1</f>
        <v>-0.111119186046512</v>
      </c>
      <c r="L82" s="45" cm="1">
        <f t="array" ref="L82">K82-E82</f>
        <v>-1.86046512e-07</v>
      </c>
      <c r="M82" s="44" cm="1">
        <f t="array" ref="M82">AVERAGE(D33:D82)</f>
        <v>13505.458788</v>
      </c>
      <c r="N82" s="44" cm="1">
        <f t="array" ref="N82">M82-F82</f>
        <v>-1.2e-05</v>
      </c>
      <c r="O82" s="43" cm="1">
        <f t="array" ref="O82">IF(AVERAGE(J69:J82)=0,100,100-100/(1+AVERAGE(I69:I82)/AVERAGE(J69:J82)))</f>
        <v>12.6484254001033</v>
      </c>
      <c r="P82" s="44" cm="1">
        <f t="array" ref="P82">O82-G82</f>
        <v>-0.0015745998967</v>
      </c>
    </row>
    <row r="83" ht="13.65" customHeight="1">
      <c r="A83" t="s" s="42">
        <v>35</v>
      </c>
      <c r="B83" t="s" s="42">
        <v>143</v>
      </c>
      <c r="C83" s="43">
        <v>12166</v>
      </c>
      <c r="D83" s="44">
        <v>12166</v>
      </c>
      <c r="E83" s="45">
        <v>-0.111387</v>
      </c>
      <c r="F83" s="44">
        <v>13460.9099</v>
      </c>
      <c r="G83" s="43">
        <v>13.29</v>
      </c>
      <c r="H83" s="44" cm="1">
        <f t="array" ref="H83">D83-D82</f>
        <v>-65</v>
      </c>
      <c r="I83" s="44" cm="1">
        <f t="array" ref="I83">MAX(H83,0)</f>
        <v>0</v>
      </c>
      <c r="J83" s="44" cm="1">
        <f t="array" ref="J83">MAX(-H83,0)</f>
        <v>65</v>
      </c>
      <c r="K83" s="45" cm="1">
        <f t="array" ref="K83">D83/D63-1</f>
        <v>-0.111387042582719</v>
      </c>
      <c r="L83" s="45" cm="1">
        <f t="array" ref="L83">K83-E83</f>
        <v>-0.000000042583</v>
      </c>
      <c r="M83" s="44" cm="1">
        <f t="array" ref="M83">AVERAGE(D34:D83)</f>
        <v>13460.909862</v>
      </c>
      <c r="N83" s="44" cm="1">
        <f t="array" ref="N83">M83-F83</f>
        <v>-3.8e-05</v>
      </c>
      <c r="O83" s="43" cm="1">
        <f t="array" ref="O83">IF(AVERAGE(J70:J83)=0,100,100-100/(1+AVERAGE(I70:I83)/AVERAGE(J70:J83)))</f>
        <v>13.2863340563991</v>
      </c>
      <c r="P83" s="44" cm="1">
        <f t="array" ref="P83">O83-G83</f>
        <v>-0.0036659436009</v>
      </c>
    </row>
    <row r="84" ht="13.65" customHeight="1">
      <c r="A84" t="s" s="42">
        <v>35</v>
      </c>
      <c r="B84" t="s" s="42">
        <v>144</v>
      </c>
      <c r="C84" s="43">
        <v>12338</v>
      </c>
      <c r="D84" s="44">
        <v>12338</v>
      </c>
      <c r="E84" s="45">
        <v>-0.098758</v>
      </c>
      <c r="F84" s="44">
        <v>13431.4242</v>
      </c>
      <c r="G84" s="43">
        <v>21.54</v>
      </c>
      <c r="H84" s="44" cm="1">
        <f t="array" ref="H84">D84-D83</f>
        <v>172</v>
      </c>
      <c r="I84" s="44" cm="1">
        <f t="array" ref="I84">MAX(H84,0)</f>
        <v>172</v>
      </c>
      <c r="J84" s="44" cm="1">
        <f t="array" ref="J84">MAX(-H84,0)</f>
        <v>0</v>
      </c>
      <c r="K84" s="45" cm="1">
        <f t="array" ref="K84">D84/D64-1</f>
        <v>-0.09875821767713661</v>
      </c>
      <c r="L84" s="45" cm="1">
        <f t="array" ref="L84">K84-E84</f>
        <v>-2.176771366e-07</v>
      </c>
      <c r="M84" s="44" cm="1">
        <f t="array" ref="M84">AVERAGE(D35:D84)</f>
        <v>13431.424218</v>
      </c>
      <c r="N84" s="44" cm="1">
        <f t="array" ref="N84">M84-F84</f>
        <v>1.8e-05</v>
      </c>
      <c r="O84" s="43" cm="1">
        <f t="array" ref="O84">IF(AVERAGE(J71:J84)=0,100,100-100/(1+AVERAGE(I71:I84)/AVERAGE(J71:J84)))</f>
        <v>21.5392561983471</v>
      </c>
      <c r="P84" s="44" cm="1">
        <f t="array" ref="P84">O84-G84</f>
        <v>-0.0007438016529</v>
      </c>
    </row>
    <row r="85" ht="13.65" customHeight="1">
      <c r="A85" t="s" s="42">
        <v>35</v>
      </c>
      <c r="B85" t="s" s="42">
        <v>145</v>
      </c>
      <c r="C85" s="43">
        <v>12103</v>
      </c>
      <c r="D85" s="44">
        <v>12103</v>
      </c>
      <c r="E85" s="45">
        <v>-0.123543</v>
      </c>
      <c r="F85" s="44">
        <v>13401.6542</v>
      </c>
      <c r="G85" s="43">
        <v>19.79</v>
      </c>
      <c r="H85" s="44" cm="1">
        <f t="array" ref="H85">D85-D84</f>
        <v>-235</v>
      </c>
      <c r="I85" s="44" cm="1">
        <f t="array" ref="I85">MAX(H85,0)</f>
        <v>0</v>
      </c>
      <c r="J85" s="44" cm="1">
        <f t="array" ref="J85">MAX(-H85,0)</f>
        <v>235</v>
      </c>
      <c r="K85" s="45" cm="1">
        <f t="array" ref="K85">D85/D65-1</f>
        <v>-0.123542617133753</v>
      </c>
      <c r="L85" s="45" cm="1">
        <f t="array" ref="L85">K85-E85</f>
        <v>3.82866247e-07</v>
      </c>
      <c r="M85" s="44" cm="1">
        <f t="array" ref="M85">AVERAGE(D36:D85)</f>
        <v>13401.654218</v>
      </c>
      <c r="N85" s="44" cm="1">
        <f t="array" ref="N85">M85-F85</f>
        <v>1.8e-05</v>
      </c>
      <c r="O85" s="43" cm="1">
        <f t="array" ref="O85">IF(AVERAGE(J72:J85)=0,100,100-100/(1+AVERAGE(I72:I85)/AVERAGE(J72:J85)))</f>
        <v>19.7911722828666</v>
      </c>
      <c r="P85" s="44" cm="1">
        <f t="array" ref="P85">O85-G85</f>
        <v>0.0011722828666</v>
      </c>
    </row>
    <row r="86" ht="13.65" customHeight="1">
      <c r="A86" t="s" s="42">
        <v>35</v>
      </c>
      <c r="B86" t="s" s="42">
        <v>146</v>
      </c>
      <c r="C86" s="43">
        <v>12153</v>
      </c>
      <c r="D86" s="44">
        <v>12153</v>
      </c>
      <c r="E86" s="45">
        <v>-0.104091</v>
      </c>
      <c r="F86" s="44">
        <v>13370.3893</v>
      </c>
      <c r="G86" s="43">
        <v>14.9</v>
      </c>
      <c r="H86" s="44" cm="1">
        <f t="array" ref="H86">D86-D85</f>
        <v>50</v>
      </c>
      <c r="I86" s="44" cm="1">
        <f t="array" ref="I86">MAX(H86,0)</f>
        <v>50</v>
      </c>
      <c r="J86" s="44" cm="1">
        <f t="array" ref="J86">MAX(-H86,0)</f>
        <v>0</v>
      </c>
      <c r="K86" s="45" cm="1">
        <f t="array" ref="K86">D86/D66-1</f>
        <v>-0.104091411721342</v>
      </c>
      <c r="L86" s="45" cm="1">
        <f t="array" ref="L86">K86-E86</f>
        <v>-4.11721342e-07</v>
      </c>
      <c r="M86" s="44" cm="1">
        <f t="array" ref="M86">AVERAGE(D37:D86)</f>
        <v>13370.389276</v>
      </c>
      <c r="N86" s="44" cm="1">
        <f t="array" ref="N86">M86-F86</f>
        <v>-2.4e-05</v>
      </c>
      <c r="O86" s="43" cm="1">
        <f t="array" ref="O86">IF(AVERAGE(J73:J86)=0,100,100-100/(1+AVERAGE(I73:I86)/AVERAGE(J73:J86)))</f>
        <v>14.9043303121853</v>
      </c>
      <c r="P86" s="44" cm="1">
        <f t="array" ref="P86">O86-G86</f>
        <v>0.0043303121853</v>
      </c>
    </row>
    <row r="87" ht="13.65" customHeight="1">
      <c r="A87" t="s" s="42">
        <v>35</v>
      </c>
      <c r="B87" t="s" s="42">
        <v>147</v>
      </c>
      <c r="C87" s="43">
        <v>12190</v>
      </c>
      <c r="D87" s="44">
        <v>12190</v>
      </c>
      <c r="E87" s="45">
        <v>-0.104993</v>
      </c>
      <c r="F87" s="44">
        <v>13343.0127</v>
      </c>
      <c r="G87" s="43">
        <v>23.35</v>
      </c>
      <c r="H87" s="44" cm="1">
        <f t="array" ref="H87">D87-D86</f>
        <v>37</v>
      </c>
      <c r="I87" s="44" cm="1">
        <f t="array" ref="I87">MAX(H87,0)</f>
        <v>37</v>
      </c>
      <c r="J87" s="44" cm="1">
        <f t="array" ref="J87">MAX(-H87,0)</f>
        <v>0</v>
      </c>
      <c r="K87" s="45" cm="1">
        <f t="array" ref="K87">D87/D67-1</f>
        <v>-0.104992657856094</v>
      </c>
      <c r="L87" s="45" cm="1">
        <f t="array" ref="L87">K87-E87</f>
        <v>3.42143906e-07</v>
      </c>
      <c r="M87" s="44" cm="1">
        <f t="array" ref="M87">AVERAGE(D38:D87)</f>
        <v>13343.012714</v>
      </c>
      <c r="N87" s="44" cm="1">
        <f t="array" ref="N87">M87-F87</f>
        <v>1.4e-05</v>
      </c>
      <c r="O87" s="43" cm="1">
        <f t="array" ref="O87">IF(AVERAGE(J74:J87)=0,100,100-100/(1+AVERAGE(I74:I87)/AVERAGE(J74:J87)))</f>
        <v>23.3520336605891</v>
      </c>
      <c r="P87" s="44" cm="1">
        <f t="array" ref="P87">O87-G87</f>
        <v>0.0020336605891</v>
      </c>
    </row>
    <row r="88" ht="13.65" customHeight="1">
      <c r="A88" t="s" s="42">
        <v>35</v>
      </c>
      <c r="B88" t="s" s="42">
        <v>148</v>
      </c>
      <c r="C88" s="43">
        <v>12230</v>
      </c>
      <c r="D88" s="44">
        <v>12230</v>
      </c>
      <c r="E88" s="45">
        <v>-0.105863</v>
      </c>
      <c r="F88" s="44">
        <v>13320.5152</v>
      </c>
      <c r="G88" s="43">
        <v>27.33</v>
      </c>
      <c r="H88" s="44" cm="1">
        <f t="array" ref="H88">D88-D87</f>
        <v>40</v>
      </c>
      <c r="I88" s="44" cm="1">
        <f t="array" ref="I88">MAX(H88,0)</f>
        <v>40</v>
      </c>
      <c r="J88" s="44" cm="1">
        <f t="array" ref="J88">MAX(-H88,0)</f>
        <v>0</v>
      </c>
      <c r="K88" s="45" cm="1">
        <f t="array" ref="K88">D88/D68-1</f>
        <v>-0.105863430326071</v>
      </c>
      <c r="L88" s="45" cm="1">
        <f t="array" ref="L88">K88-E88</f>
        <v>-4.30326071e-07</v>
      </c>
      <c r="M88" s="44" cm="1">
        <f t="array" ref="M88">AVERAGE(D39:D88)</f>
        <v>13320.515194</v>
      </c>
      <c r="N88" s="44" cm="1">
        <f t="array" ref="N88">M88-F88</f>
        <v>-6e-06</v>
      </c>
      <c r="O88" s="43" cm="1">
        <f t="array" ref="O88">IF(AVERAGE(J75:J88)=0,100,100-100/(1+AVERAGE(I75:I88)/AVERAGE(J75:J88)))</f>
        <v>27.3260073260073</v>
      </c>
      <c r="P88" s="44" cm="1">
        <f t="array" ref="P88">O88-G88</f>
        <v>-0.0039926739927</v>
      </c>
    </row>
    <row r="89" ht="13.65" customHeight="1">
      <c r="A89" t="s" s="42">
        <v>35</v>
      </c>
      <c r="B89" t="s" s="42">
        <v>149</v>
      </c>
      <c r="C89" s="43">
        <v>11990</v>
      </c>
      <c r="D89" s="44">
        <v>11990</v>
      </c>
      <c r="E89" s="45">
        <v>-0.113166</v>
      </c>
      <c r="F89" s="44">
        <v>13291.3564</v>
      </c>
      <c r="G89" s="43">
        <v>22.86</v>
      </c>
      <c r="H89" s="44" cm="1">
        <f t="array" ref="H89">D89-D88</f>
        <v>-240</v>
      </c>
      <c r="I89" s="44" cm="1">
        <f t="array" ref="I89">MAX(H89,0)</f>
        <v>0</v>
      </c>
      <c r="J89" s="44" cm="1">
        <f t="array" ref="J89">MAX(-H89,0)</f>
        <v>240</v>
      </c>
      <c r="K89" s="45" cm="1">
        <f t="array" ref="K89">D89/D69-1</f>
        <v>-0.113165680473373</v>
      </c>
      <c r="L89" s="45" cm="1">
        <f t="array" ref="L89">K89-E89</f>
        <v>3.19526627e-07</v>
      </c>
      <c r="M89" s="44" cm="1">
        <f t="array" ref="M89">AVERAGE(D40:D89)</f>
        <v>13291.356366</v>
      </c>
      <c r="N89" s="44" cm="1">
        <f t="array" ref="N89">M89-F89</f>
        <v>-3.4e-05</v>
      </c>
      <c r="O89" s="43" cm="1">
        <f t="array" ref="O89">IF(AVERAGE(J76:J89)=0,100,100-100/(1+AVERAGE(I76:I89)/AVERAGE(J76:J89)))</f>
        <v>22.8553537883532</v>
      </c>
      <c r="P89" s="44" cm="1">
        <f t="array" ref="P89">O89-G89</f>
        <v>-0.0046462116468</v>
      </c>
    </row>
    <row r="90" ht="13.65" customHeight="1">
      <c r="A90" t="s" s="42">
        <v>35</v>
      </c>
      <c r="B90" t="s" s="42">
        <v>150</v>
      </c>
      <c r="C90" s="43">
        <v>12065</v>
      </c>
      <c r="D90" s="44">
        <v>12065</v>
      </c>
      <c r="E90" s="45">
        <v>-0.102307</v>
      </c>
      <c r="F90" s="44">
        <v>13259.7373</v>
      </c>
      <c r="G90" s="43">
        <v>29.16</v>
      </c>
      <c r="H90" s="44" cm="1">
        <f t="array" ref="H90">D90-D89</f>
        <v>75</v>
      </c>
      <c r="I90" s="44" cm="1">
        <f t="array" ref="I90">MAX(H90,0)</f>
        <v>75</v>
      </c>
      <c r="J90" s="44" cm="1">
        <f t="array" ref="J90">MAX(-H90,0)</f>
        <v>0</v>
      </c>
      <c r="K90" s="45" cm="1">
        <f t="array" ref="K90">D90/D70-1</f>
        <v>-0.102306547619048</v>
      </c>
      <c r="L90" s="45" cm="1">
        <f t="array" ref="L90">K90-E90</f>
        <v>4.52380952e-07</v>
      </c>
      <c r="M90" s="44" cm="1">
        <f t="array" ref="M90">AVERAGE(D41:D90)</f>
        <v>13259.737304</v>
      </c>
      <c r="N90" s="44" cm="1">
        <f t="array" ref="N90">M90-F90</f>
        <v>4e-06</v>
      </c>
      <c r="O90" s="43" cm="1">
        <f t="array" ref="O90">IF(AVERAGE(J77:J90)=0,100,100-100/(1+AVERAGE(I77:I90)/AVERAGE(J77:J90)))</f>
        <v>29.1583830351226</v>
      </c>
      <c r="P90" s="44" cm="1">
        <f t="array" ref="P90">O90-G90</f>
        <v>-0.0016169648774</v>
      </c>
    </row>
    <row r="91" ht="13.65" customHeight="1">
      <c r="A91" t="s" s="42">
        <v>35</v>
      </c>
      <c r="B91" t="s" s="42">
        <v>151</v>
      </c>
      <c r="C91" s="43">
        <v>12008</v>
      </c>
      <c r="D91" s="44">
        <v>12008</v>
      </c>
      <c r="E91" s="45">
        <v>-0.102273</v>
      </c>
      <c r="F91" s="44">
        <v>13226.5822</v>
      </c>
      <c r="G91" s="43">
        <v>24.93</v>
      </c>
      <c r="H91" s="44" cm="1">
        <f t="array" ref="H91">D91-D90</f>
        <v>-57</v>
      </c>
      <c r="I91" s="44" cm="1">
        <f t="array" ref="I91">MAX(H91,0)</f>
        <v>0</v>
      </c>
      <c r="J91" s="44" cm="1">
        <f t="array" ref="J91">MAX(-H91,0)</f>
        <v>57</v>
      </c>
      <c r="K91" s="45" cm="1">
        <f t="array" ref="K91">D91/D71-1</f>
        <v>-0.102272727272727</v>
      </c>
      <c r="L91" s="45" cm="1">
        <f t="array" ref="L91">K91-E91</f>
        <v>2.72727273e-07</v>
      </c>
      <c r="M91" s="44" cm="1">
        <f t="array" ref="M91">AVERAGE(D42:D91)</f>
        <v>13226.582226</v>
      </c>
      <c r="N91" s="44" cm="1">
        <f t="array" ref="N91">M91-F91</f>
        <v>2.6e-05</v>
      </c>
      <c r="O91" s="43" cm="1">
        <f t="array" ref="O91">IF(AVERAGE(J78:J91)=0,100,100-100/(1+AVERAGE(I78:I91)/AVERAGE(J78:J91)))</f>
        <v>24.9333333333333</v>
      </c>
      <c r="P91" s="44" cm="1">
        <f t="array" ref="P91">O91-G91</f>
        <v>0.0033333333333</v>
      </c>
    </row>
    <row r="92" ht="13.65" customHeight="1">
      <c r="A92" t="s" s="42">
        <v>35</v>
      </c>
      <c r="B92" t="s" s="42">
        <v>152</v>
      </c>
      <c r="C92" s="43">
        <v>11877</v>
      </c>
      <c r="D92" s="44">
        <v>11877</v>
      </c>
      <c r="E92" s="45">
        <v>-0.123275</v>
      </c>
      <c r="F92" s="44">
        <v>13196.5297</v>
      </c>
      <c r="G92" s="43">
        <v>24.74</v>
      </c>
      <c r="H92" s="44" cm="1">
        <f t="array" ref="H92">D92-D91</f>
        <v>-131</v>
      </c>
      <c r="I92" s="44" cm="1">
        <f t="array" ref="I92">MAX(H92,0)</f>
        <v>0</v>
      </c>
      <c r="J92" s="44" cm="1">
        <f t="array" ref="J92">MAX(-H92,0)</f>
        <v>131</v>
      </c>
      <c r="K92" s="45" cm="1">
        <f t="array" ref="K92">D92/D72-1</f>
        <v>-0.123274525725253</v>
      </c>
      <c r="L92" s="45" cm="1">
        <f t="array" ref="L92">K92-E92</f>
        <v>4.74274747e-07</v>
      </c>
      <c r="M92" s="44" cm="1">
        <f t="array" ref="M92">AVERAGE(D43:D92)</f>
        <v>13196.529668</v>
      </c>
      <c r="N92" s="44" cm="1">
        <f t="array" ref="N92">M92-F92</f>
        <v>-3.2e-05</v>
      </c>
      <c r="O92" s="43" cm="1">
        <f t="array" ref="O92">IF(AVERAGE(J79:J92)=0,100,100-100/(1+AVERAGE(I79:I92)/AVERAGE(J79:J92)))</f>
        <v>24.7354497354497</v>
      </c>
      <c r="P92" s="44" cm="1">
        <f t="array" ref="P92">O92-G92</f>
        <v>-0.0045502645503</v>
      </c>
    </row>
    <row r="93" ht="13.65" customHeight="1">
      <c r="A93" t="s" s="42">
        <v>35</v>
      </c>
      <c r="B93" t="s" s="42">
        <v>153</v>
      </c>
      <c r="C93" s="43">
        <v>11967</v>
      </c>
      <c r="D93" s="44">
        <v>11967</v>
      </c>
      <c r="E93" s="45">
        <v>-0.075907</v>
      </c>
      <c r="F93" s="44">
        <v>13166.6336</v>
      </c>
      <c r="G93" s="43">
        <v>29.39</v>
      </c>
      <c r="H93" s="44" cm="1">
        <f t="array" ref="H93">D93-D92</f>
        <v>90</v>
      </c>
      <c r="I93" s="44" cm="1">
        <f t="array" ref="I93">MAX(H93,0)</f>
        <v>90</v>
      </c>
      <c r="J93" s="44" cm="1">
        <f t="array" ref="J93">MAX(-H93,0)</f>
        <v>0</v>
      </c>
      <c r="K93" s="45" cm="1">
        <f t="array" ref="K93">D93/D73-1</f>
        <v>-0.07590733590733589</v>
      </c>
      <c r="L93" s="45" cm="1">
        <f t="array" ref="L93">K93-E93</f>
        <v>-3.359073359e-07</v>
      </c>
      <c r="M93" s="44" cm="1">
        <f t="array" ref="M93">AVERAGE(D44:D93)</f>
        <v>13166.633614</v>
      </c>
      <c r="N93" s="44" cm="1">
        <f t="array" ref="N93">M93-F93</f>
        <v>1.4e-05</v>
      </c>
      <c r="O93" s="43" cm="1">
        <f t="array" ref="O93">IF(AVERAGE(J80:J93)=0,100,100-100/(1+AVERAGE(I80:I93)/AVERAGE(J80:J93)))</f>
        <v>29.3856871437619</v>
      </c>
      <c r="P93" s="44" cm="1">
        <f t="array" ref="P93">O93-G93</f>
        <v>-0.0043128562381</v>
      </c>
    </row>
    <row r="94" ht="13.65" customHeight="1">
      <c r="A94" t="s" s="42">
        <v>35</v>
      </c>
      <c r="B94" t="s" s="42">
        <v>154</v>
      </c>
      <c r="C94" s="43">
        <v>11386</v>
      </c>
      <c r="D94" s="44">
        <v>11386</v>
      </c>
      <c r="E94" s="45">
        <v>-0.113861</v>
      </c>
      <c r="F94" s="44">
        <v>13126.1472</v>
      </c>
      <c r="G94" s="43">
        <v>21.76</v>
      </c>
      <c r="H94" s="44" cm="1">
        <f t="array" ref="H94">D94-D93</f>
        <v>-581</v>
      </c>
      <c r="I94" s="44" cm="1">
        <f t="array" ref="I94">MAX(H94,0)</f>
        <v>0</v>
      </c>
      <c r="J94" s="44" cm="1">
        <f t="array" ref="J94">MAX(-H94,0)</f>
        <v>581</v>
      </c>
      <c r="K94" s="45" cm="1">
        <f t="array" ref="K94">D94/D74-1</f>
        <v>-0.113861000856098</v>
      </c>
      <c r="L94" s="45" cm="1">
        <f t="array" ref="L94">K94-E94</f>
        <v>-8.56098e-10</v>
      </c>
      <c r="M94" s="44" cm="1">
        <f t="array" ref="M94">AVERAGE(D45:D94)</f>
        <v>13126.147228</v>
      </c>
      <c r="N94" s="44" cm="1">
        <f t="array" ref="N94">M94-F94</f>
        <v>2.8e-05</v>
      </c>
      <c r="O94" s="43" cm="1">
        <f t="array" ref="O94">IF(AVERAGE(J81:J94)=0,100,100-100/(1+AVERAGE(I81:I94)/AVERAGE(J81:J94)))</f>
        <v>21.7636022514071</v>
      </c>
      <c r="P94" s="44" cm="1">
        <f t="array" ref="P94">O94-G94</f>
        <v>0.0036022514071</v>
      </c>
    </row>
    <row r="95" ht="13.65" customHeight="1">
      <c r="A95" t="s" s="42">
        <v>35</v>
      </c>
      <c r="B95" t="s" s="42">
        <v>155</v>
      </c>
      <c r="C95" s="43">
        <v>11532</v>
      </c>
      <c r="D95" s="44">
        <v>11532</v>
      </c>
      <c r="E95" s="45">
        <v>-0.103057</v>
      </c>
      <c r="F95" s="44">
        <v>13091.3926</v>
      </c>
      <c r="G95" s="43">
        <v>29.21</v>
      </c>
      <c r="H95" s="44" cm="1">
        <f t="array" ref="H95">D95-D94</f>
        <v>146</v>
      </c>
      <c r="I95" s="44" cm="1">
        <f t="array" ref="I95">MAX(H95,0)</f>
        <v>146</v>
      </c>
      <c r="J95" s="44" cm="1">
        <f t="array" ref="J95">MAX(-H95,0)</f>
        <v>0</v>
      </c>
      <c r="K95" s="45" cm="1">
        <f t="array" ref="K95">D95/D75-1</f>
        <v>-0.103056700630007</v>
      </c>
      <c r="L95" s="45" cm="1">
        <f t="array" ref="L95">K95-E95</f>
        <v>2.99369993e-07</v>
      </c>
      <c r="M95" s="44" cm="1">
        <f t="array" ref="M95">AVERAGE(D46:D95)</f>
        <v>13091.3926</v>
      </c>
      <c r="N95" s="44" cm="1">
        <f t="array" ref="N95">M95-F95</f>
        <v>0</v>
      </c>
      <c r="O95" s="43" cm="1">
        <f t="array" ref="O95">IF(AVERAGE(J82:J95)=0,100,100-100/(1+AVERAGE(I82:I95)/AVERAGE(J82:J95)))</f>
        <v>29.2145593869732</v>
      </c>
      <c r="P95" s="44" cm="1">
        <f t="array" ref="P95">O95-G95</f>
        <v>0.0045593869732</v>
      </c>
    </row>
    <row r="96" ht="13.65" customHeight="1">
      <c r="A96" t="s" s="42">
        <v>35</v>
      </c>
      <c r="B96" t="s" s="42">
        <v>156</v>
      </c>
      <c r="C96" s="43">
        <v>11625</v>
      </c>
      <c r="D96" s="44">
        <v>11625</v>
      </c>
      <c r="E96" s="45">
        <v>-0.084213</v>
      </c>
      <c r="F96" s="44">
        <v>13057.7257</v>
      </c>
      <c r="G96" s="43">
        <v>34.94</v>
      </c>
      <c r="H96" s="44" cm="1">
        <f t="array" ref="H96">D96-D95</f>
        <v>93</v>
      </c>
      <c r="I96" s="44" cm="1">
        <f t="array" ref="I96">MAX(H96,0)</f>
        <v>93</v>
      </c>
      <c r="J96" s="44" cm="1">
        <f t="array" ref="J96">MAX(-H96,0)</f>
        <v>0</v>
      </c>
      <c r="K96" s="45" cm="1">
        <f t="array" ref="K96">D96/D76-1</f>
        <v>-0.0842130140223728</v>
      </c>
      <c r="L96" s="45" cm="1">
        <f t="array" ref="L96">K96-E96</f>
        <v>-1.40223728e-08</v>
      </c>
      <c r="M96" s="44" cm="1">
        <f t="array" ref="M96">AVERAGE(D47:D96)</f>
        <v>13057.725724</v>
      </c>
      <c r="N96" s="44" cm="1">
        <f t="array" ref="N96">M96-F96</f>
        <v>2.4e-05</v>
      </c>
      <c r="O96" s="43" cm="1">
        <f t="array" ref="O96">IF(AVERAGE(J83:J96)=0,100,100-100/(1+AVERAGE(I83:I96)/AVERAGE(J83:J96)))</f>
        <v>34.9403578528827</v>
      </c>
      <c r="P96" s="44" cm="1">
        <f t="array" ref="P96">O96-G96</f>
        <v>0.0003578528827</v>
      </c>
    </row>
    <row r="97" ht="13.65" customHeight="1">
      <c r="A97" t="s" s="42">
        <v>35</v>
      </c>
      <c r="B97" t="s" s="42">
        <v>157</v>
      </c>
      <c r="C97" s="43">
        <v>11450</v>
      </c>
      <c r="D97" s="44">
        <v>11450</v>
      </c>
      <c r="E97" s="45">
        <v>-0.102665</v>
      </c>
      <c r="F97" s="44">
        <v>13014.8561</v>
      </c>
      <c r="G97" s="43">
        <v>33.13</v>
      </c>
      <c r="H97" s="44" cm="1">
        <f t="array" ref="H97">D97-D96</f>
        <v>-175</v>
      </c>
      <c r="I97" s="44" cm="1">
        <f t="array" ref="I97">MAX(H97,0)</f>
        <v>0</v>
      </c>
      <c r="J97" s="44" cm="1">
        <f t="array" ref="J97">MAX(-H97,0)</f>
        <v>175</v>
      </c>
      <c r="K97" s="45" cm="1">
        <f t="array" ref="K97">D97/D77-1</f>
        <v>-0.102664576802508</v>
      </c>
      <c r="L97" s="45" cm="1">
        <f t="array" ref="L97">K97-E97</f>
        <v>4.23197492e-07</v>
      </c>
      <c r="M97" s="44" cm="1">
        <f t="array" ref="M97">AVERAGE(D48:D97)</f>
        <v>13014.856114</v>
      </c>
      <c r="N97" s="44" cm="1">
        <f t="array" ref="N97">M97-F97</f>
        <v>1.4e-05</v>
      </c>
      <c r="O97" s="43" cm="1">
        <f t="array" ref="O97">IF(AVERAGE(J84:J97)=0,100,100-100/(1+AVERAGE(I84:I97)/AVERAGE(J84:J97)))</f>
        <v>33.129123468426</v>
      </c>
      <c r="P97" s="44" cm="1">
        <f t="array" ref="P97">O97-G97</f>
        <v>-0.000876531574</v>
      </c>
    </row>
    <row r="98" ht="13.65" customHeight="1">
      <c r="A98" t="s" s="42">
        <v>35</v>
      </c>
      <c r="B98" t="s" s="42">
        <v>158</v>
      </c>
      <c r="C98" s="43">
        <v>11228</v>
      </c>
      <c r="D98" s="44">
        <v>11228</v>
      </c>
      <c r="E98" s="45">
        <v>-0.111779</v>
      </c>
      <c r="F98" s="44">
        <v>12966.1208</v>
      </c>
      <c r="G98" s="43">
        <v>24.45</v>
      </c>
      <c r="H98" s="44" cm="1">
        <f t="array" ref="H98">D98-D97</f>
        <v>-222</v>
      </c>
      <c r="I98" s="44" cm="1">
        <f t="array" ref="I98">MAX(H98,0)</f>
        <v>0</v>
      </c>
      <c r="J98" s="44" cm="1">
        <f t="array" ref="J98">MAX(-H98,0)</f>
        <v>222</v>
      </c>
      <c r="K98" s="45" cm="1">
        <f t="array" ref="K98">D98/D78-1</f>
        <v>-0.111779131397832</v>
      </c>
      <c r="L98" s="45" cm="1">
        <f t="array" ref="L98">K98-E98</f>
        <v>-1.31397832e-07</v>
      </c>
      <c r="M98" s="44" cm="1">
        <f t="array" ref="M98">AVERAGE(D49:D98)</f>
        <v>12966.12084</v>
      </c>
      <c r="N98" s="44" cm="1">
        <f t="array" ref="N98">M98-F98</f>
        <v>4e-05</v>
      </c>
      <c r="O98" s="43" cm="1">
        <f t="array" ref="O98">IF(AVERAGE(J85:J98)=0,100,100-100/(1+AVERAGE(I85:I98)/AVERAGE(J85:J98)))</f>
        <v>24.4475138121547</v>
      </c>
      <c r="P98" s="44" cm="1">
        <f t="array" ref="P98">O98-G98</f>
        <v>-0.0024861878453</v>
      </c>
    </row>
    <row r="99" ht="13.65" customHeight="1">
      <c r="A99" t="s" s="42">
        <v>35</v>
      </c>
      <c r="B99" t="s" s="42">
        <v>159</v>
      </c>
      <c r="C99" s="43">
        <v>11420</v>
      </c>
      <c r="D99" s="44">
        <v>11420</v>
      </c>
      <c r="E99" s="45">
        <v>-0.094944</v>
      </c>
      <c r="F99" s="44">
        <v>12918.3346</v>
      </c>
      <c r="G99" s="43">
        <v>33.96</v>
      </c>
      <c r="H99" s="44" cm="1">
        <f t="array" ref="H99">D99-D98</f>
        <v>192</v>
      </c>
      <c r="I99" s="44" cm="1">
        <f t="array" ref="I99">MAX(H99,0)</f>
        <v>192</v>
      </c>
      <c r="J99" s="44" cm="1">
        <f t="array" ref="J99">MAX(-H99,0)</f>
        <v>0</v>
      </c>
      <c r="K99" s="45" cm="1">
        <f t="array" ref="K99">D99/D79-1</f>
        <v>-0.09494373117768271</v>
      </c>
      <c r="L99" s="45" cm="1">
        <f t="array" ref="L99">K99-E99</f>
        <v>2.688223173e-07</v>
      </c>
      <c r="M99" s="44" cm="1">
        <f t="array" ref="M99">AVERAGE(D50:D99)</f>
        <v>12918.33459</v>
      </c>
      <c r="N99" s="44" cm="1">
        <f t="array" ref="N99">M99-F99</f>
        <v>-1e-05</v>
      </c>
      <c r="O99" s="43" cm="1">
        <f t="array" ref="O99">IF(AVERAGE(J86:J99)=0,100,100-100/(1+AVERAGE(I86:I99)/AVERAGE(J86:J99)))</f>
        <v>33.9596054485674</v>
      </c>
      <c r="P99" s="44" cm="1">
        <f t="array" ref="P99">O99-G99</f>
        <v>-0.0003945514326</v>
      </c>
    </row>
    <row r="100" ht="13.65" customHeight="1">
      <c r="A100" t="s" s="42">
        <v>35</v>
      </c>
      <c r="B100" t="s" s="42">
        <v>160</v>
      </c>
      <c r="C100" s="43">
        <v>11315</v>
      </c>
      <c r="D100" s="44">
        <v>11315</v>
      </c>
      <c r="E100" s="45">
        <v>-0.101271</v>
      </c>
      <c r="F100" s="44">
        <v>12863.6961</v>
      </c>
      <c r="G100" s="43">
        <v>30.82</v>
      </c>
      <c r="H100" s="44" cm="1">
        <f t="array" ref="H100">D100-D99</f>
        <v>-105</v>
      </c>
      <c r="I100" s="44" cm="1">
        <f t="array" ref="I100">MAX(H100,0)</f>
        <v>0</v>
      </c>
      <c r="J100" s="44" cm="1">
        <f t="array" ref="J100">MAX(-H100,0)</f>
        <v>105</v>
      </c>
      <c r="K100" s="45" cm="1">
        <f t="array" ref="K100">D100/D80-1</f>
        <v>-0.101270849880858</v>
      </c>
      <c r="L100" s="45" cm="1">
        <f t="array" ref="L100">K100-E100</f>
        <v>1.50119142e-07</v>
      </c>
      <c r="M100" s="44" cm="1">
        <f t="array" ref="M100">AVERAGE(D51:D100)</f>
        <v>12863.696074</v>
      </c>
      <c r="N100" s="44" cm="1">
        <f t="array" ref="N100">M100-F100</f>
        <v>-2.6e-05</v>
      </c>
      <c r="O100" s="43" cm="1">
        <f t="array" ref="O100">IF(AVERAGE(J87:J100)=0,100,100-100/(1+AVERAGE(I87:I100)/AVERAGE(J87:J100)))</f>
        <v>30.8150183150183</v>
      </c>
      <c r="P100" s="44" cm="1">
        <f t="array" ref="P100">O100-G100</f>
        <v>-0.0049816849817</v>
      </c>
    </row>
    <row r="101" ht="13.65" customHeight="1">
      <c r="A101" t="s" s="42">
        <v>35</v>
      </c>
      <c r="B101" t="s" s="42">
        <v>161</v>
      </c>
      <c r="C101" s="43">
        <v>11320</v>
      </c>
      <c r="D101" s="44">
        <v>11320</v>
      </c>
      <c r="E101" s="45">
        <v>-0.08709699999999999</v>
      </c>
      <c r="F101" s="44">
        <v>12808.2467</v>
      </c>
      <c r="G101" s="43">
        <v>29.79</v>
      </c>
      <c r="H101" s="44" cm="1">
        <f t="array" ref="H101">D101-D100</f>
        <v>5</v>
      </c>
      <c r="I101" s="44" cm="1">
        <f t="array" ref="I101">MAX(H101,0)</f>
        <v>5</v>
      </c>
      <c r="J101" s="44" cm="1">
        <f t="array" ref="J101">MAX(-H101,0)</f>
        <v>0</v>
      </c>
      <c r="K101" s="45" cm="1">
        <f t="array" ref="K101">D101/D81-1</f>
        <v>-0.0870967741935484</v>
      </c>
      <c r="L101" s="45" cm="1">
        <f t="array" ref="L101">K101-E101</f>
        <v>2.258064516e-07</v>
      </c>
      <c r="M101" s="44" cm="1">
        <f t="array" ref="M101">AVERAGE(D52:D101)</f>
        <v>12808.246698</v>
      </c>
      <c r="N101" s="44" cm="1">
        <f t="array" ref="N101">M101-F101</f>
        <v>-2e-06</v>
      </c>
      <c r="O101" s="43" cm="1">
        <f t="array" ref="O101">IF(AVERAGE(J88:J101)=0,100,100-100/(1+AVERAGE(I88:I101)/AVERAGE(J88:J101)))</f>
        <v>29.7862453531599</v>
      </c>
      <c r="P101" s="44" cm="1">
        <f t="array" ref="P101">O101-G101</f>
        <v>-0.0037546468401</v>
      </c>
    </row>
    <row r="102" ht="13.55" customHeight="1">
      <c r="A102" s="46"/>
      <c r="B102" s="46"/>
      <c r="C102" s="46"/>
      <c r="D102" s="46"/>
      <c r="E102" s="46"/>
      <c r="F102" s="46"/>
      <c r="G102" s="46"/>
      <c r="H102" s="46"/>
      <c r="I102" s="46"/>
      <c r="J102" s="46"/>
      <c r="K102" s="46"/>
      <c r="L102" s="46"/>
      <c r="M102" s="46"/>
      <c r="N102" s="46"/>
      <c r="O102" s="46"/>
      <c r="P102" s="46"/>
    </row>
    <row r="103" ht="13.65" customHeight="1">
      <c r="A103" t="s" s="42">
        <v>162</v>
      </c>
      <c r="B103" s="46"/>
      <c r="C103" t="s" s="47">
        <v>163</v>
      </c>
      <c r="D103" t="s" s="47">
        <v>164</v>
      </c>
      <c r="E103" t="s" s="47">
        <v>165</v>
      </c>
      <c r="F103" s="46"/>
      <c r="G103" s="46"/>
      <c r="H103" s="46"/>
      <c r="I103" s="46"/>
      <c r="J103" s="46"/>
      <c r="K103" s="46"/>
      <c r="L103" s="46"/>
      <c r="M103" s="46"/>
      <c r="N103" s="46"/>
      <c r="O103" s="46"/>
      <c r="P103" s="46"/>
    </row>
    <row r="104" ht="13.65" customHeight="1">
      <c r="A104" t="s" s="42">
        <v>166</v>
      </c>
      <c r="B104" s="46"/>
      <c r="C104" s="45" cm="1">
        <f t="array" ref="C104">MAX(MAX(L22:L101),-MIN(L22:L101))</f>
        <v>4.9275104819e-07</v>
      </c>
      <c r="D104" t="s" s="42">
        <v>167</v>
      </c>
      <c r="E104" t="str" s="48" cm="1">
        <f t="array" ref="E104">IF(C104&lt;0.0001,"PASS","CHECK")</f>
        <v>PASS</v>
      </c>
      <c r="F104" s="46"/>
      <c r="G104" s="46"/>
      <c r="H104" s="46"/>
      <c r="I104" s="46"/>
      <c r="J104" s="46"/>
      <c r="K104" s="46"/>
      <c r="L104" s="46"/>
      <c r="M104" s="46"/>
      <c r="N104" s="46"/>
      <c r="O104" s="46"/>
      <c r="P104" s="46"/>
    </row>
    <row r="105" ht="13.65" customHeight="1">
      <c r="A105" t="s" s="42">
        <v>169</v>
      </c>
      <c r="B105" s="46"/>
      <c r="C105" s="44" cm="1">
        <f t="array" ref="C105">MAX(MAX(N51:N101),-MIN(N51:N101))</f>
        <v>4.6e-05</v>
      </c>
      <c r="D105" t="s" s="42">
        <v>170</v>
      </c>
      <c r="E105" t="str" s="48" cm="1">
        <f t="array" ref="E105">IF(C105&lt;0.01,"PASS","CHECK")</f>
        <v>PASS</v>
      </c>
      <c r="F105" s="46"/>
      <c r="G105" s="46"/>
      <c r="H105" s="46"/>
      <c r="I105" s="46"/>
      <c r="J105" s="46"/>
      <c r="K105" s="46"/>
      <c r="L105" s="46"/>
      <c r="M105" s="46"/>
      <c r="N105" s="46"/>
      <c r="O105" s="46"/>
      <c r="P105" s="46"/>
    </row>
    <row r="106" ht="13.65" customHeight="1">
      <c r="A106" t="s" s="42">
        <v>171</v>
      </c>
      <c r="B106" s="46"/>
      <c r="C106" s="44" cm="1">
        <f t="array" ref="C106">MAX(MAX(P16:P101),-MIN(P16:P101))</f>
        <v>0.0049816849817</v>
      </c>
      <c r="D106" t="s" s="42">
        <v>172</v>
      </c>
      <c r="E106" t="str" s="48" cm="1">
        <f t="array" ref="E106">IF(C106&lt;0.1,"PASS","CHECK")</f>
        <v>PASS</v>
      </c>
      <c r="F106" s="46"/>
      <c r="G106" s="46"/>
      <c r="H106" s="46"/>
      <c r="I106" s="46"/>
      <c r="J106" s="46"/>
      <c r="K106" s="46"/>
      <c r="L106" s="46"/>
      <c r="M106" s="46"/>
      <c r="N106" s="46"/>
      <c r="O106" s="46"/>
      <c r="P106" s="46"/>
    </row>
    <row r="107" ht="13.55" customHeight="1">
      <c r="A107" s="46"/>
      <c r="B107" s="46"/>
      <c r="C107" s="46"/>
      <c r="D107" s="46"/>
      <c r="E107" s="46"/>
      <c r="F107" s="46"/>
      <c r="G107" s="46"/>
      <c r="H107" s="46"/>
      <c r="I107" s="46"/>
      <c r="J107" s="46"/>
      <c r="K107" s="46"/>
      <c r="L107" s="46"/>
      <c r="M107" s="46"/>
      <c r="N107" s="46"/>
      <c r="O107" s="46"/>
      <c r="P107" s="46"/>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E13"/>
  <sheetViews>
    <sheetView workbookViewId="0" showGridLines="0" defaultGridColor="1"/>
  </sheetViews>
  <sheetFormatPr defaultColWidth="16.6667" defaultRowHeight="19.9" customHeight="1" outlineLevelRow="0" outlineLevelCol="0"/>
  <cols>
    <col min="1" max="1" width="10.8516" style="51" customWidth="1"/>
    <col min="2" max="2" width="8.85156" style="51" customWidth="1"/>
    <col min="3" max="3" width="7" style="51" customWidth="1"/>
    <col min="4" max="4" width="8" style="51" customWidth="1"/>
    <col min="5" max="5" width="7" style="51" customWidth="1"/>
    <col min="6" max="16384" width="16.6719" style="51" customWidth="1"/>
  </cols>
  <sheetData>
    <row r="1" ht="16.35" customHeight="1">
      <c r="A1" t="s" s="52">
        <v>178</v>
      </c>
      <c r="B1" t="s" s="52">
        <v>179</v>
      </c>
      <c r="C1" t="s" s="52">
        <v>180</v>
      </c>
      <c r="D1" t="s" s="52">
        <v>181</v>
      </c>
      <c r="E1" t="s" s="52">
        <v>180</v>
      </c>
    </row>
    <row r="2" ht="16.35" customHeight="1">
      <c r="A2" s="53">
        <v>2015</v>
      </c>
      <c r="B2" t="s" s="54">
        <v>30</v>
      </c>
      <c r="C2" s="55">
        <v>0.167</v>
      </c>
      <c r="D2" t="s" s="54">
        <v>21</v>
      </c>
      <c r="E2" s="55">
        <v>-0.07000000000000001</v>
      </c>
    </row>
    <row r="3" ht="16.35" customHeight="1">
      <c r="A3" s="53">
        <v>2016</v>
      </c>
      <c r="B3" t="s" s="54">
        <v>34</v>
      </c>
      <c r="C3" s="55">
        <v>0.136</v>
      </c>
      <c r="D3" t="s" s="54">
        <v>38</v>
      </c>
      <c r="E3" s="55">
        <v>-0.157</v>
      </c>
    </row>
    <row r="4" ht="16.35" customHeight="1">
      <c r="A4" s="53">
        <v>2017</v>
      </c>
      <c r="B4" t="s" s="54">
        <v>34</v>
      </c>
      <c r="C4" s="55">
        <v>0.417</v>
      </c>
      <c r="D4" t="s" s="54">
        <v>38</v>
      </c>
      <c r="E4" s="55">
        <v>-0.054</v>
      </c>
    </row>
    <row r="5" ht="16.35" customHeight="1">
      <c r="A5" s="53">
        <v>2018</v>
      </c>
      <c r="B5" t="s" s="54">
        <v>30</v>
      </c>
      <c r="C5" s="55">
        <v>0.303</v>
      </c>
      <c r="D5" t="s" s="54">
        <v>34</v>
      </c>
      <c r="E5" s="55">
        <v>-0.133</v>
      </c>
    </row>
    <row r="6" ht="16.35" customHeight="1">
      <c r="A6" s="53">
        <v>2019</v>
      </c>
      <c r="B6" t="s" s="54">
        <v>21</v>
      </c>
      <c r="C6" s="55">
        <v>0.291</v>
      </c>
      <c r="D6" t="s" s="54">
        <v>34</v>
      </c>
      <c r="E6" s="55">
        <v>-0.06900000000000001</v>
      </c>
    </row>
    <row r="7" ht="16.35" customHeight="1">
      <c r="A7" s="53">
        <v>2020</v>
      </c>
      <c r="B7" t="s" s="54">
        <v>38</v>
      </c>
      <c r="C7" s="55">
        <v>0.677</v>
      </c>
      <c r="D7" t="s" s="54">
        <v>21</v>
      </c>
      <c r="E7" s="55">
        <v>0.013</v>
      </c>
    </row>
    <row r="8" ht="16.35" customHeight="1">
      <c r="A8" s="53">
        <v>2021</v>
      </c>
      <c r="B8" t="s" s="54">
        <v>41</v>
      </c>
      <c r="C8" s="55">
        <v>0.613</v>
      </c>
      <c r="D8" t="s" s="54">
        <v>34</v>
      </c>
      <c r="E8" s="55">
        <v>0.003</v>
      </c>
    </row>
    <row r="9" ht="16.35" customHeight="1">
      <c r="A9" s="53">
        <v>2022</v>
      </c>
      <c r="B9" t="s" s="54">
        <v>34</v>
      </c>
      <c r="C9" s="55">
        <v>0.252</v>
      </c>
      <c r="D9" t="s" s="54">
        <v>41</v>
      </c>
      <c r="E9" s="55">
        <v>-0.272</v>
      </c>
    </row>
    <row r="10" ht="16.35" customHeight="1">
      <c r="A10" s="53">
        <v>2023</v>
      </c>
      <c r="B10" t="s" s="54">
        <v>34</v>
      </c>
      <c r="C10" s="55">
        <v>0.488</v>
      </c>
      <c r="D10" t="s" s="54">
        <v>21</v>
      </c>
      <c r="E10" s="55">
        <v>0.104</v>
      </c>
    </row>
    <row r="11" ht="16.35" customHeight="1">
      <c r="A11" s="53">
        <v>2024</v>
      </c>
      <c r="B11" t="s" s="54">
        <v>38</v>
      </c>
      <c r="C11" s="55">
        <v>0.466</v>
      </c>
      <c r="D11" t="s" s="54">
        <v>30</v>
      </c>
      <c r="E11" s="55">
        <v>-0.07099999999999999</v>
      </c>
    </row>
    <row r="12" ht="16.35" customHeight="1">
      <c r="A12" s="53">
        <v>2025</v>
      </c>
      <c r="B12" t="s" s="54">
        <v>34</v>
      </c>
      <c r="C12" s="55">
        <v>0.377</v>
      </c>
      <c r="D12" t="s" s="54">
        <v>41</v>
      </c>
      <c r="E12" s="55">
        <v>-0.106</v>
      </c>
    </row>
    <row r="13" ht="16.35" customHeight="1">
      <c r="A13" t="s" s="54">
        <v>182</v>
      </c>
      <c r="B13" t="s" s="54">
        <v>38</v>
      </c>
      <c r="C13" s="55">
        <v>0.054</v>
      </c>
      <c r="D13" t="s" s="54">
        <v>41</v>
      </c>
      <c r="E13" s="55">
        <v>-0.22</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sheetPr>
    <pageSetUpPr fitToPage="1"/>
  </sheetPr>
  <dimension ref="A2:D62"/>
  <sheetViews>
    <sheetView workbookViewId="0" showGridLines="0" defaultGridColor="1"/>
  </sheetViews>
  <sheetFormatPr defaultColWidth="8.33333" defaultRowHeight="19.9" customHeight="1" outlineLevelRow="0" outlineLevelCol="0"/>
  <cols>
    <col min="1" max="1" width="5.17188" style="56" customWidth="1"/>
    <col min="2" max="2" width="11.8516" style="56" customWidth="1"/>
    <col min="3" max="3" width="9.67188" style="56" customWidth="1"/>
    <col min="4" max="4" width="11.5" style="56" customWidth="1"/>
    <col min="5" max="16384" width="8.35156" style="56" customWidth="1"/>
  </cols>
  <sheetData>
    <row r="1" ht="27.65" customHeight="1">
      <c r="A1" t="s" s="7">
        <v>183</v>
      </c>
      <c r="B1" s="7"/>
      <c r="C1" s="7"/>
      <c r="D1" s="7"/>
    </row>
    <row r="2" ht="20.25" customHeight="1">
      <c r="A2" t="s" s="8">
        <v>185</v>
      </c>
      <c r="B2" t="s" s="8">
        <v>7</v>
      </c>
      <c r="C2" t="s" s="8">
        <v>186</v>
      </c>
      <c r="D2" t="s" s="8">
        <v>187</v>
      </c>
    </row>
    <row r="3" ht="20.25" customHeight="1">
      <c r="A3" s="57">
        <v>2015</v>
      </c>
      <c r="B3" t="s" s="11">
        <v>30</v>
      </c>
      <c r="C3" s="13">
        <v>16.74</v>
      </c>
      <c r="D3" s="13">
        <v>1</v>
      </c>
    </row>
    <row r="4" ht="20.05" customHeight="1">
      <c r="A4" s="58">
        <v>2015</v>
      </c>
      <c r="B4" t="s" s="18">
        <v>38</v>
      </c>
      <c r="C4" s="20">
        <v>14.65</v>
      </c>
      <c r="D4" s="20">
        <v>2</v>
      </c>
    </row>
    <row r="5" ht="20.05" customHeight="1">
      <c r="A5" s="58">
        <v>2015</v>
      </c>
      <c r="B5" t="s" s="18">
        <v>34</v>
      </c>
      <c r="C5" s="20">
        <v>10.36</v>
      </c>
      <c r="D5" s="20">
        <v>3</v>
      </c>
    </row>
    <row r="6" ht="20.05" customHeight="1">
      <c r="A6" s="58">
        <v>2015</v>
      </c>
      <c r="B6" t="s" s="18">
        <v>41</v>
      </c>
      <c r="C6" s="20">
        <v>2.4</v>
      </c>
      <c r="D6" s="20">
        <v>4</v>
      </c>
    </row>
    <row r="7" ht="20.05" customHeight="1">
      <c r="A7" s="58">
        <v>2015</v>
      </c>
      <c r="B7" t="s" s="18">
        <v>21</v>
      </c>
      <c r="C7" s="20">
        <v>-6.99</v>
      </c>
      <c r="D7" s="20">
        <v>5</v>
      </c>
    </row>
    <row r="8" ht="20.05" customHeight="1">
      <c r="A8" s="58">
        <v>2016</v>
      </c>
      <c r="B8" t="s" s="18">
        <v>34</v>
      </c>
      <c r="C8" s="20">
        <v>13.57</v>
      </c>
      <c r="D8" s="20">
        <v>1</v>
      </c>
    </row>
    <row r="9" ht="20.05" customHeight="1">
      <c r="A9" s="58">
        <v>2016</v>
      </c>
      <c r="B9" t="s" s="18">
        <v>21</v>
      </c>
      <c r="C9" s="20">
        <v>7.12</v>
      </c>
      <c r="D9" s="20">
        <v>2</v>
      </c>
    </row>
    <row r="10" ht="20.05" customHeight="1">
      <c r="A10" s="58">
        <v>2016</v>
      </c>
      <c r="B10" t="s" s="18">
        <v>30</v>
      </c>
      <c r="C10" s="20">
        <v>4.66</v>
      </c>
      <c r="D10" s="20">
        <v>3</v>
      </c>
    </row>
    <row r="11" ht="20.05" customHeight="1">
      <c r="A11" s="58">
        <v>2016</v>
      </c>
      <c r="B11" t="s" s="18">
        <v>41</v>
      </c>
      <c r="C11" s="20">
        <v>-4.24</v>
      </c>
      <c r="D11" s="20">
        <v>4</v>
      </c>
    </row>
    <row r="12" ht="20.05" customHeight="1">
      <c r="A12" s="58">
        <v>2016</v>
      </c>
      <c r="B12" t="s" s="18">
        <v>38</v>
      </c>
      <c r="C12" s="20">
        <v>-15.71</v>
      </c>
      <c r="D12" s="20">
        <v>5</v>
      </c>
    </row>
    <row r="13" ht="20.05" customHeight="1">
      <c r="A13" s="58">
        <v>2017</v>
      </c>
      <c r="B13" t="s" s="18">
        <v>34</v>
      </c>
      <c r="C13" s="20">
        <v>41.71</v>
      </c>
      <c r="D13" s="20">
        <v>1</v>
      </c>
    </row>
    <row r="14" ht="20.05" customHeight="1">
      <c r="A14" s="58">
        <v>2017</v>
      </c>
      <c r="B14" t="s" s="18">
        <v>30</v>
      </c>
      <c r="C14" s="20">
        <v>40.34</v>
      </c>
      <c r="D14" s="20">
        <v>2</v>
      </c>
    </row>
    <row r="15" ht="20.05" customHeight="1">
      <c r="A15" s="58">
        <v>2017</v>
      </c>
      <c r="B15" t="s" s="18">
        <v>21</v>
      </c>
      <c r="C15" s="20">
        <v>39.28</v>
      </c>
      <c r="D15" s="20">
        <v>3</v>
      </c>
    </row>
    <row r="16" ht="20.05" customHeight="1">
      <c r="A16" s="58">
        <v>2017</v>
      </c>
      <c r="B16" t="s" s="18">
        <v>41</v>
      </c>
      <c r="C16" s="20">
        <v>15.23</v>
      </c>
      <c r="D16" s="20">
        <v>4</v>
      </c>
    </row>
    <row r="17" ht="20.05" customHeight="1">
      <c r="A17" s="58">
        <v>2017</v>
      </c>
      <c r="B17" t="s" s="18">
        <v>38</v>
      </c>
      <c r="C17" s="20">
        <v>-5.41</v>
      </c>
      <c r="D17" s="20">
        <v>5</v>
      </c>
    </row>
    <row r="18" ht="20.05" customHeight="1">
      <c r="A18" s="58">
        <v>2018</v>
      </c>
      <c r="B18" t="s" s="18">
        <v>30</v>
      </c>
      <c r="C18" s="20">
        <v>30.25</v>
      </c>
      <c r="D18" s="20">
        <v>1</v>
      </c>
    </row>
    <row r="19" ht="20.05" customHeight="1">
      <c r="A19" s="58">
        <v>2018</v>
      </c>
      <c r="B19" t="s" s="18">
        <v>41</v>
      </c>
      <c r="C19" s="20">
        <v>27.9</v>
      </c>
      <c r="D19" s="20">
        <v>2</v>
      </c>
    </row>
    <row r="20" ht="20.05" customHeight="1">
      <c r="A20" s="58">
        <v>2018</v>
      </c>
      <c r="B20" t="s" s="18">
        <v>21</v>
      </c>
      <c r="C20" s="20">
        <v>13.73</v>
      </c>
      <c r="D20" s="20">
        <v>3</v>
      </c>
    </row>
    <row r="21" ht="20.05" customHeight="1">
      <c r="A21" s="58">
        <v>2018</v>
      </c>
      <c r="B21" t="s" s="18">
        <v>38</v>
      </c>
      <c r="C21" s="20">
        <v>0.8</v>
      </c>
      <c r="D21" s="20">
        <v>4</v>
      </c>
    </row>
    <row r="22" ht="20.05" customHeight="1">
      <c r="A22" s="58">
        <v>2018</v>
      </c>
      <c r="B22" t="s" s="18">
        <v>34</v>
      </c>
      <c r="C22" s="20">
        <v>-13.27</v>
      </c>
      <c r="D22" s="20">
        <v>5</v>
      </c>
    </row>
    <row r="23" ht="20.05" customHeight="1">
      <c r="A23" s="58">
        <v>2019</v>
      </c>
      <c r="B23" t="s" s="18">
        <v>21</v>
      </c>
      <c r="C23" s="20">
        <v>29.1</v>
      </c>
      <c r="D23" s="20">
        <v>1</v>
      </c>
    </row>
    <row r="24" ht="20.05" customHeight="1">
      <c r="A24" s="58">
        <v>2019</v>
      </c>
      <c r="B24" t="s" s="18">
        <v>41</v>
      </c>
      <c r="C24" s="20">
        <v>13.09</v>
      </c>
      <c r="D24" s="20">
        <v>2</v>
      </c>
    </row>
    <row r="25" ht="20.05" customHeight="1">
      <c r="A25" s="58">
        <v>2019</v>
      </c>
      <c r="B25" t="s" s="18">
        <v>30</v>
      </c>
      <c r="C25" s="20">
        <v>7.09</v>
      </c>
      <c r="D25" s="20">
        <v>3</v>
      </c>
    </row>
    <row r="26" ht="20.05" customHeight="1">
      <c r="A26" s="58">
        <v>2019</v>
      </c>
      <c r="B26" t="s" s="18">
        <v>38</v>
      </c>
      <c r="C26" s="20">
        <v>5.48</v>
      </c>
      <c r="D26" s="20">
        <v>4</v>
      </c>
    </row>
    <row r="27" ht="20.05" customHeight="1">
      <c r="A27" s="58">
        <v>2019</v>
      </c>
      <c r="B27" t="s" s="18">
        <v>34</v>
      </c>
      <c r="C27" s="20">
        <v>-6.94</v>
      </c>
      <c r="D27" s="20">
        <v>5</v>
      </c>
    </row>
    <row r="28" ht="20.05" customHeight="1">
      <c r="A28" s="58">
        <v>2020</v>
      </c>
      <c r="B28" t="s" s="18">
        <v>38</v>
      </c>
      <c r="C28" s="20">
        <v>67.73999999999999</v>
      </c>
      <c r="D28" s="20">
        <v>1</v>
      </c>
    </row>
    <row r="29" ht="20.05" customHeight="1">
      <c r="A29" s="58">
        <v>2020</v>
      </c>
      <c r="B29" t="s" s="18">
        <v>41</v>
      </c>
      <c r="C29" s="20">
        <v>57.12</v>
      </c>
      <c r="D29" s="20">
        <v>2</v>
      </c>
    </row>
    <row r="30" ht="20.05" customHeight="1">
      <c r="A30" s="58">
        <v>2020</v>
      </c>
      <c r="B30" t="s" s="18">
        <v>34</v>
      </c>
      <c r="C30" s="20">
        <v>23.39</v>
      </c>
      <c r="D30" s="20">
        <v>3</v>
      </c>
    </row>
    <row r="31" ht="20.05" customHeight="1">
      <c r="A31" s="58">
        <v>2020</v>
      </c>
      <c r="B31" t="s" s="18">
        <v>30</v>
      </c>
      <c r="C31" s="20">
        <v>19</v>
      </c>
      <c r="D31" s="20">
        <v>4</v>
      </c>
    </row>
    <row r="32" ht="20.05" customHeight="1">
      <c r="A32" s="58">
        <v>2020</v>
      </c>
      <c r="B32" t="s" s="18">
        <v>21</v>
      </c>
      <c r="C32" s="20">
        <v>1.32</v>
      </c>
      <c r="D32" s="20">
        <v>5</v>
      </c>
    </row>
    <row r="33" ht="20.05" customHeight="1">
      <c r="A33" s="58">
        <v>2021</v>
      </c>
      <c r="B33" t="s" s="18">
        <v>41</v>
      </c>
      <c r="C33" s="20">
        <v>61.26</v>
      </c>
      <c r="D33" s="20">
        <v>1</v>
      </c>
    </row>
    <row r="34" ht="20.05" customHeight="1">
      <c r="A34" s="58">
        <v>2021</v>
      </c>
      <c r="B34" t="s" s="18">
        <v>21</v>
      </c>
      <c r="C34" s="20">
        <v>20.85</v>
      </c>
      <c r="D34" s="20">
        <v>2</v>
      </c>
    </row>
    <row r="35" ht="20.05" customHeight="1">
      <c r="A35" s="58">
        <v>2021</v>
      </c>
      <c r="B35" t="s" s="18">
        <v>38</v>
      </c>
      <c r="C35" s="20">
        <v>15.46</v>
      </c>
      <c r="D35" s="20">
        <v>3</v>
      </c>
    </row>
    <row r="36" ht="20.05" customHeight="1">
      <c r="A36" s="58">
        <v>2021</v>
      </c>
      <c r="B36" t="s" s="18">
        <v>30</v>
      </c>
      <c r="C36" s="20">
        <v>7.24</v>
      </c>
      <c r="D36" s="20">
        <v>4</v>
      </c>
    </row>
    <row r="37" ht="20.05" customHeight="1">
      <c r="A37" s="58">
        <v>2021</v>
      </c>
      <c r="B37" t="s" s="18">
        <v>34</v>
      </c>
      <c r="C37" s="20">
        <v>0.34</v>
      </c>
      <c r="D37" s="20">
        <v>5</v>
      </c>
    </row>
    <row r="38" ht="20.05" customHeight="1">
      <c r="A38" s="58">
        <v>2022</v>
      </c>
      <c r="B38" t="s" s="18">
        <v>34</v>
      </c>
      <c r="C38" s="20">
        <v>25.2</v>
      </c>
      <c r="D38" s="20">
        <v>1</v>
      </c>
    </row>
    <row r="39" ht="20.05" customHeight="1">
      <c r="A39" s="58">
        <v>2022</v>
      </c>
      <c r="B39" t="s" s="18">
        <v>21</v>
      </c>
      <c r="C39" s="20">
        <v>22.08</v>
      </c>
      <c r="D39" s="20">
        <v>2</v>
      </c>
    </row>
    <row r="40" ht="20.05" customHeight="1">
      <c r="A40" s="58">
        <v>2022</v>
      </c>
      <c r="B40" t="s" s="18">
        <v>30</v>
      </c>
      <c r="C40" s="20">
        <v>17.32</v>
      </c>
      <c r="D40" s="20">
        <v>3</v>
      </c>
    </row>
    <row r="41" ht="20.05" customHeight="1">
      <c r="A41" s="58">
        <v>2022</v>
      </c>
      <c r="B41" t="s" s="18">
        <v>38</v>
      </c>
      <c r="C41" s="20">
        <v>-5.89</v>
      </c>
      <c r="D41" s="20">
        <v>4</v>
      </c>
    </row>
    <row r="42" ht="20.05" customHeight="1">
      <c r="A42" s="58">
        <v>2022</v>
      </c>
      <c r="B42" t="s" s="18">
        <v>41</v>
      </c>
      <c r="C42" s="20">
        <v>-27.19</v>
      </c>
      <c r="D42" s="20">
        <v>5</v>
      </c>
    </row>
    <row r="43" ht="20.05" customHeight="1">
      <c r="A43" s="58">
        <v>2023</v>
      </c>
      <c r="B43" t="s" s="18">
        <v>34</v>
      </c>
      <c r="C43" s="20">
        <v>48.76</v>
      </c>
      <c r="D43" s="20">
        <v>1</v>
      </c>
    </row>
    <row r="44" ht="20.05" customHeight="1">
      <c r="A44" s="58">
        <v>2023</v>
      </c>
      <c r="B44" t="s" s="18">
        <v>38</v>
      </c>
      <c r="C44" s="20">
        <v>35.63</v>
      </c>
      <c r="D44" s="20">
        <v>2</v>
      </c>
    </row>
    <row r="45" ht="20.05" customHeight="1">
      <c r="A45" s="58">
        <v>2023</v>
      </c>
      <c r="B45" t="s" s="18">
        <v>41</v>
      </c>
      <c r="C45" s="20">
        <v>24.79</v>
      </c>
      <c r="D45" s="20">
        <v>3</v>
      </c>
    </row>
    <row r="46" ht="20.05" customHeight="1">
      <c r="A46" s="58">
        <v>2023</v>
      </c>
      <c r="B46" t="s" s="18">
        <v>30</v>
      </c>
      <c r="C46" s="20">
        <v>22.43</v>
      </c>
      <c r="D46" s="20">
        <v>4</v>
      </c>
    </row>
    <row r="47" ht="20.05" customHeight="1">
      <c r="A47" s="58">
        <v>2023</v>
      </c>
      <c r="B47" t="s" s="18">
        <v>21</v>
      </c>
      <c r="C47" s="20">
        <v>10.37</v>
      </c>
      <c r="D47" s="20">
        <v>5</v>
      </c>
    </row>
    <row r="48" ht="20.05" customHeight="1">
      <c r="A48" s="58">
        <v>2024</v>
      </c>
      <c r="B48" t="s" s="18">
        <v>38</v>
      </c>
      <c r="C48" s="20">
        <v>46.57</v>
      </c>
      <c r="D48" s="20">
        <v>1</v>
      </c>
    </row>
    <row r="49" ht="20.05" customHeight="1">
      <c r="A49" s="58">
        <v>2024</v>
      </c>
      <c r="B49" t="s" s="18">
        <v>41</v>
      </c>
      <c r="C49" s="20">
        <v>28.23</v>
      </c>
      <c r="D49" s="20">
        <v>2</v>
      </c>
    </row>
    <row r="50" ht="20.05" customHeight="1">
      <c r="A50" s="58">
        <v>2024</v>
      </c>
      <c r="B50" t="s" s="18">
        <v>34</v>
      </c>
      <c r="C50" s="20">
        <v>26.54</v>
      </c>
      <c r="D50" s="20">
        <v>3</v>
      </c>
    </row>
    <row r="51" ht="20.05" customHeight="1">
      <c r="A51" s="58">
        <v>2024</v>
      </c>
      <c r="B51" t="s" s="18">
        <v>21</v>
      </c>
      <c r="C51" s="20">
        <v>10.73</v>
      </c>
      <c r="D51" s="20">
        <v>4</v>
      </c>
    </row>
    <row r="52" ht="20.05" customHeight="1">
      <c r="A52" s="58">
        <v>2024</v>
      </c>
      <c r="B52" t="s" s="18">
        <v>30</v>
      </c>
      <c r="C52" s="20">
        <v>-7.14</v>
      </c>
      <c r="D52" s="20">
        <v>5</v>
      </c>
    </row>
    <row r="53" ht="20.05" customHeight="1">
      <c r="A53" s="58">
        <v>2025</v>
      </c>
      <c r="B53" t="s" s="18">
        <v>34</v>
      </c>
      <c r="C53" s="20">
        <v>37.69</v>
      </c>
      <c r="D53" s="20">
        <v>1</v>
      </c>
    </row>
    <row r="54" ht="20.05" customHeight="1">
      <c r="A54" s="58">
        <v>2025</v>
      </c>
      <c r="B54" t="s" s="18">
        <v>21</v>
      </c>
      <c r="C54" s="20">
        <v>18.3</v>
      </c>
      <c r="D54" s="20">
        <v>2</v>
      </c>
    </row>
    <row r="55" ht="20.05" customHeight="1">
      <c r="A55" s="58">
        <v>2025</v>
      </c>
      <c r="B55" t="s" s="18">
        <v>30</v>
      </c>
      <c r="C55" s="20">
        <v>7.96</v>
      </c>
      <c r="D55" s="20">
        <v>3</v>
      </c>
    </row>
    <row r="56" ht="20.05" customHeight="1">
      <c r="A56" s="58">
        <v>2025</v>
      </c>
      <c r="B56" t="s" s="18">
        <v>38</v>
      </c>
      <c r="C56" s="20">
        <v>-3.2</v>
      </c>
      <c r="D56" s="20">
        <v>4</v>
      </c>
    </row>
    <row r="57" ht="20.05" customHeight="1">
      <c r="A57" s="58">
        <v>2025</v>
      </c>
      <c r="B57" t="s" s="18">
        <v>41</v>
      </c>
      <c r="C57" s="20">
        <v>-10.64</v>
      </c>
      <c r="D57" s="20">
        <v>5</v>
      </c>
    </row>
    <row r="58" ht="20.05" customHeight="1">
      <c r="A58" s="58">
        <v>2026</v>
      </c>
      <c r="B58" t="s" s="18">
        <v>38</v>
      </c>
      <c r="C58" s="20">
        <v>5.04</v>
      </c>
      <c r="D58" s="20">
        <v>1</v>
      </c>
    </row>
    <row r="59" ht="20.05" customHeight="1">
      <c r="A59" s="58">
        <v>2026</v>
      </c>
      <c r="B59" t="s" s="18">
        <v>21</v>
      </c>
      <c r="C59" s="20">
        <v>-5.44</v>
      </c>
      <c r="D59" s="20">
        <v>2</v>
      </c>
    </row>
    <row r="60" ht="20.05" customHeight="1">
      <c r="A60" s="58">
        <v>2026</v>
      </c>
      <c r="B60" t="s" s="18">
        <v>34</v>
      </c>
      <c r="C60" s="20">
        <v>-11.63</v>
      </c>
      <c r="D60" s="20">
        <v>3</v>
      </c>
    </row>
    <row r="61" ht="20.05" customHeight="1">
      <c r="A61" s="58">
        <v>2026</v>
      </c>
      <c r="B61" t="s" s="18">
        <v>30</v>
      </c>
      <c r="C61" s="20">
        <v>-17.88</v>
      </c>
      <c r="D61" s="20">
        <v>4</v>
      </c>
    </row>
    <row r="62" ht="20.05" customHeight="1">
      <c r="A62" s="58">
        <v>2026</v>
      </c>
      <c r="B62" t="s" s="18">
        <v>41</v>
      </c>
      <c r="C62" s="20">
        <v>-24.28</v>
      </c>
      <c r="D62" s="20">
        <v>5</v>
      </c>
    </row>
  </sheetData>
  <mergeCells count="1">
    <mergeCell ref="A1:D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E6"/>
  <sheetViews>
    <sheetView workbookViewId="0" showGridLines="0" defaultGridColor="1"/>
  </sheetViews>
  <sheetFormatPr defaultColWidth="16.6667" defaultRowHeight="19.9" customHeight="1" outlineLevelRow="0" outlineLevelCol="0"/>
  <cols>
    <col min="1" max="1" width="8" style="59" customWidth="1"/>
    <col min="2" max="2" width="17.1719" style="59" customWidth="1"/>
    <col min="3" max="3" width="9.5" style="59" customWidth="1"/>
    <col min="4" max="4" width="6.67188" style="59" customWidth="1"/>
    <col min="5" max="5" width="6" style="59" customWidth="1"/>
    <col min="6" max="16384" width="16.6719" style="59" customWidth="1"/>
  </cols>
  <sheetData>
    <row r="1" ht="30.35" customHeight="1">
      <c r="A1" t="s" s="52">
        <v>189</v>
      </c>
      <c r="B1" t="s" s="52">
        <v>190</v>
      </c>
      <c r="C1" t="s" s="52">
        <v>191</v>
      </c>
      <c r="D1" t="s" s="52">
        <v>192</v>
      </c>
      <c r="E1" t="s" s="52">
        <v>193</v>
      </c>
    </row>
    <row r="2" ht="30.35" customHeight="1">
      <c r="A2" t="s" s="60">
        <v>21</v>
      </c>
      <c r="B2" t="s" s="54">
        <v>194</v>
      </c>
      <c r="C2" s="55">
        <v>0.257</v>
      </c>
      <c r="D2" s="55">
        <v>-0.17</v>
      </c>
      <c r="E2" s="55">
        <v>0.109</v>
      </c>
    </row>
    <row r="3" ht="16.35" customHeight="1">
      <c r="A3" t="s" s="54">
        <v>34</v>
      </c>
      <c r="B3" s="55">
        <v>0.214</v>
      </c>
      <c r="C3" s="55">
        <v>0.262</v>
      </c>
      <c r="D3" s="55">
        <v>-0.126</v>
      </c>
      <c r="E3" s="55">
        <v>0.11</v>
      </c>
    </row>
    <row r="4" ht="16.35" customHeight="1">
      <c r="A4" t="s" s="54">
        <v>41</v>
      </c>
      <c r="B4" s="61">
        <v>0.2115</v>
      </c>
      <c r="C4" s="55">
        <v>0.249</v>
      </c>
      <c r="D4" s="55">
        <v>-0.08799999999999999</v>
      </c>
      <c r="E4" s="55">
        <v>0.08799999999999999</v>
      </c>
    </row>
    <row r="5" ht="16.35" customHeight="1">
      <c r="A5" t="s" s="54">
        <v>38</v>
      </c>
      <c r="B5" s="55">
        <v>0.2</v>
      </c>
      <c r="C5" s="55">
        <v>0.261</v>
      </c>
      <c r="D5" s="55">
        <v>-0.073</v>
      </c>
      <c r="E5" s="55">
        <v>0.1</v>
      </c>
    </row>
    <row r="6" ht="16.35" customHeight="1">
      <c r="A6" t="s" s="60">
        <v>30</v>
      </c>
      <c r="B6" t="s" s="54">
        <v>195</v>
      </c>
      <c r="C6" s="55">
        <v>0.217</v>
      </c>
      <c r="D6" s="55">
        <v>-0.107</v>
      </c>
      <c r="E6" s="55">
        <v>0.101</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F6"/>
  <sheetViews>
    <sheetView workbookViewId="0" showGridLines="0" defaultGridColor="1"/>
  </sheetViews>
  <sheetFormatPr defaultColWidth="16.6667" defaultRowHeight="19.9" customHeight="1" outlineLevelRow="0" outlineLevelCol="0"/>
  <cols>
    <col min="1" max="1" width="8" style="62" customWidth="1"/>
    <col min="2" max="2" width="5.35156" style="62" customWidth="1"/>
    <col min="3" max="3" width="8" style="62" customWidth="1"/>
    <col min="4" max="4" width="7" style="62" customWidth="1"/>
    <col min="5" max="5" width="5.35156" style="62" customWidth="1"/>
    <col min="6" max="6" width="7.67188" style="62" customWidth="1"/>
    <col min="7" max="16384" width="16.6719" style="62" customWidth="1"/>
  </cols>
  <sheetData>
    <row r="1" ht="16.35" customHeight="1">
      <c r="A1" s="63"/>
      <c r="B1" t="s" s="52">
        <v>34</v>
      </c>
      <c r="C1" t="s" s="52">
        <v>21</v>
      </c>
      <c r="D1" t="s" s="52">
        <v>30</v>
      </c>
      <c r="E1" t="s" s="52">
        <v>41</v>
      </c>
      <c r="F1" t="s" s="52">
        <v>38</v>
      </c>
    </row>
    <row r="2" ht="16.35" customHeight="1">
      <c r="A2" t="s" s="60">
        <v>34</v>
      </c>
      <c r="B2" s="53">
        <v>1</v>
      </c>
      <c r="C2" s="64">
        <v>0.596</v>
      </c>
      <c r="D2" s="53">
        <v>0.498</v>
      </c>
      <c r="E2" s="53">
        <v>0.34</v>
      </c>
      <c r="F2" s="53">
        <v>0.368</v>
      </c>
    </row>
    <row r="3" ht="16.35" customHeight="1">
      <c r="A3" t="s" s="60">
        <v>21</v>
      </c>
      <c r="B3" s="53">
        <v>0.596</v>
      </c>
      <c r="C3" s="53">
        <v>1</v>
      </c>
      <c r="D3" s="53">
        <v>0.439</v>
      </c>
      <c r="E3" s="53">
        <v>0.335</v>
      </c>
      <c r="F3" s="53">
        <v>0.329</v>
      </c>
    </row>
    <row r="4" ht="16.35" customHeight="1">
      <c r="A4" t="s" s="60">
        <v>30</v>
      </c>
      <c r="B4" s="53">
        <v>0.498</v>
      </c>
      <c r="C4" s="53">
        <v>0.439</v>
      </c>
      <c r="D4" s="53">
        <v>1</v>
      </c>
      <c r="E4" s="53">
        <v>0.349</v>
      </c>
      <c r="F4" s="53">
        <v>0.362</v>
      </c>
    </row>
    <row r="5" ht="16.35" customHeight="1">
      <c r="A5" t="s" s="60">
        <v>41</v>
      </c>
      <c r="B5" s="53">
        <v>0.34</v>
      </c>
      <c r="C5" s="53">
        <v>0.335</v>
      </c>
      <c r="D5" s="53">
        <v>0.349</v>
      </c>
      <c r="E5" s="53">
        <v>1</v>
      </c>
      <c r="F5" s="64">
        <v>0.313</v>
      </c>
    </row>
    <row r="6" ht="16.35" customHeight="1">
      <c r="A6" t="s" s="60">
        <v>38</v>
      </c>
      <c r="B6" s="53">
        <v>0.368</v>
      </c>
      <c r="C6" s="53">
        <v>0.329</v>
      </c>
      <c r="D6" s="53">
        <v>0.362</v>
      </c>
      <c r="E6" s="53">
        <v>0.313</v>
      </c>
      <c r="F6" s="53">
        <v>1</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I30"/>
  <sheetViews>
    <sheetView workbookViewId="0" showGridLines="0" defaultGridColor="1"/>
  </sheetViews>
  <sheetFormatPr defaultColWidth="8.83333" defaultRowHeight="15.4" customHeight="1" outlineLevelRow="0" outlineLevelCol="0"/>
  <cols>
    <col min="1" max="1" width="12" style="65" customWidth="1"/>
    <col min="2" max="2" width="22" style="65" customWidth="1"/>
    <col min="3" max="3" width="10" style="65" customWidth="1"/>
    <col min="4" max="4" width="9" style="65" customWidth="1"/>
    <col min="5" max="5" width="13" style="65" customWidth="1"/>
    <col min="6" max="6" width="22" style="65" customWidth="1"/>
    <col min="7" max="7" width="20" style="65" customWidth="1"/>
    <col min="8" max="8" width="30" style="65" customWidth="1"/>
    <col min="9" max="9" width="70" style="65" customWidth="1"/>
    <col min="10" max="16384" width="8.85156" style="65" customWidth="1"/>
  </cols>
  <sheetData>
    <row r="1" ht="16.6" customHeight="1">
      <c r="A1" t="s" s="66">
        <v>198</v>
      </c>
      <c r="B1" s="67"/>
      <c r="C1" s="67"/>
      <c r="D1" s="67"/>
      <c r="E1" s="67"/>
      <c r="F1" s="67"/>
      <c r="G1" s="67"/>
      <c r="H1" s="67"/>
      <c r="I1" s="67"/>
    </row>
    <row r="2" ht="13.65" customHeight="1">
      <c r="A2" t="s" s="68">
        <v>199</v>
      </c>
      <c r="B2" t="s" s="69">
        <v>200</v>
      </c>
      <c r="C2" t="s" s="69">
        <v>189</v>
      </c>
      <c r="D2" t="s" s="69">
        <v>201</v>
      </c>
      <c r="E2" t="s" s="69">
        <v>202</v>
      </c>
      <c r="F2" t="s" s="69">
        <v>203</v>
      </c>
      <c r="G2" t="s" s="69">
        <v>204</v>
      </c>
      <c r="H2" t="s" s="69">
        <v>205</v>
      </c>
      <c r="I2" t="s" s="70">
        <v>206</v>
      </c>
    </row>
    <row r="3" ht="35.65" customHeight="1">
      <c r="A3" t="s" s="71">
        <v>207</v>
      </c>
      <c r="B3" t="s" s="71">
        <v>208</v>
      </c>
      <c r="C3" t="s" s="71">
        <v>21</v>
      </c>
      <c r="D3" s="72">
        <v>-27.91</v>
      </c>
      <c r="E3" s="72">
        <v>2.2</v>
      </c>
      <c r="F3" t="s" s="71">
        <v>209</v>
      </c>
      <c r="G3" t="s" s="71">
        <v>210</v>
      </c>
      <c r="H3" t="s" s="71">
        <v>211</v>
      </c>
      <c r="I3" t="s" s="71">
        <v>212</v>
      </c>
    </row>
    <row r="4" ht="37" customHeight="1">
      <c r="A4" t="s" s="73">
        <v>213</v>
      </c>
      <c r="B4" t="s" s="73">
        <v>214</v>
      </c>
      <c r="C4" t="s" s="73">
        <v>21</v>
      </c>
      <c r="D4" s="74">
        <v>27.69</v>
      </c>
      <c r="E4" s="74">
        <v>64.09999999999999</v>
      </c>
      <c r="F4" t="s" s="73">
        <v>215</v>
      </c>
      <c r="G4" t="s" s="73">
        <v>216</v>
      </c>
      <c r="H4" t="s" s="73">
        <v>217</v>
      </c>
      <c r="I4" t="s" s="73">
        <v>218</v>
      </c>
    </row>
    <row r="5" ht="35.65" customHeight="1">
      <c r="A5" t="s" s="73">
        <v>219</v>
      </c>
      <c r="B5" t="s" s="73">
        <v>220</v>
      </c>
      <c r="C5" t="s" s="73">
        <v>38</v>
      </c>
      <c r="D5" s="74">
        <v>-19.76</v>
      </c>
      <c r="E5" s="74">
        <v>28.1</v>
      </c>
      <c r="F5" t="s" s="73">
        <v>215</v>
      </c>
      <c r="G5" t="s" s="73">
        <v>221</v>
      </c>
      <c r="H5" t="s" s="73">
        <v>222</v>
      </c>
      <c r="I5" t="s" s="73">
        <v>223</v>
      </c>
    </row>
    <row r="6" ht="35.65" customHeight="1">
      <c r="A6" t="s" s="73">
        <v>224</v>
      </c>
      <c r="B6" t="s" s="73">
        <v>225</v>
      </c>
      <c r="C6" t="s" s="73">
        <v>41</v>
      </c>
      <c r="D6" s="74">
        <v>-16.19</v>
      </c>
      <c r="E6" s="74">
        <v>14.6</v>
      </c>
      <c r="F6" t="s" s="73">
        <v>215</v>
      </c>
      <c r="G6" t="s" s="73">
        <v>226</v>
      </c>
      <c r="H6" t="s" s="73">
        <v>227</v>
      </c>
      <c r="I6" t="s" s="73">
        <v>228</v>
      </c>
    </row>
    <row r="7" ht="24.65" customHeight="1">
      <c r="A7" t="s" s="73">
        <v>229</v>
      </c>
      <c r="B7" t="s" s="73">
        <v>43</v>
      </c>
      <c r="C7" t="s" s="73">
        <v>41</v>
      </c>
      <c r="D7" s="74">
        <v>16.78</v>
      </c>
      <c r="E7" s="74">
        <v>31.5</v>
      </c>
      <c r="F7" t="s" s="73">
        <v>215</v>
      </c>
      <c r="G7" t="s" s="73">
        <v>230</v>
      </c>
      <c r="H7" t="s" s="73">
        <v>231</v>
      </c>
      <c r="I7" t="s" s="73">
        <v>232</v>
      </c>
    </row>
    <row r="8" ht="13.55" customHeight="1">
      <c r="A8" s="46"/>
      <c r="B8" s="46"/>
      <c r="C8" s="46"/>
      <c r="D8" s="46"/>
      <c r="E8" s="46"/>
      <c r="F8" s="46"/>
      <c r="G8" s="46"/>
      <c r="H8" s="46"/>
      <c r="I8" s="46"/>
    </row>
    <row r="9" ht="13.65" customHeight="1">
      <c r="A9" t="s" s="75">
        <v>233</v>
      </c>
      <c r="B9" s="67"/>
      <c r="C9" s="67"/>
      <c r="D9" s="67"/>
      <c r="E9" s="67"/>
      <c r="F9" s="67"/>
      <c r="G9" s="67"/>
      <c r="H9" s="46"/>
      <c r="I9" s="46"/>
    </row>
    <row r="10" ht="13.65" customHeight="1">
      <c r="A10" t="s" s="68">
        <v>234</v>
      </c>
      <c r="B10" t="s" s="69">
        <v>8</v>
      </c>
      <c r="C10" t="s" s="69">
        <v>9</v>
      </c>
      <c r="D10" t="s" s="69">
        <v>7</v>
      </c>
      <c r="E10" t="s" s="69">
        <v>235</v>
      </c>
      <c r="F10" t="s" s="69">
        <v>236</v>
      </c>
      <c r="G10" t="s" s="69">
        <v>237</v>
      </c>
      <c r="H10" s="76"/>
      <c r="I10" s="46"/>
    </row>
    <row r="11" ht="13.65" customHeight="1">
      <c r="A11" t="s" s="38">
        <v>207</v>
      </c>
      <c r="B11" t="s" s="38">
        <v>238</v>
      </c>
      <c r="C11" t="s" s="38">
        <v>208</v>
      </c>
      <c r="D11" t="s" s="38">
        <v>21</v>
      </c>
      <c r="E11" s="77">
        <v>-27.91</v>
      </c>
      <c r="F11" s="77">
        <v>2.2</v>
      </c>
      <c r="G11" t="s" s="38">
        <v>209</v>
      </c>
      <c r="H11" s="46"/>
      <c r="I11" s="46"/>
    </row>
    <row r="12" ht="13.65" customHeight="1">
      <c r="A12" t="s" s="42">
        <v>213</v>
      </c>
      <c r="B12" t="s" s="42">
        <v>239</v>
      </c>
      <c r="C12" t="s" s="42">
        <v>214</v>
      </c>
      <c r="D12" t="s" s="42">
        <v>21</v>
      </c>
      <c r="E12" s="78">
        <v>27.69</v>
      </c>
      <c r="F12" s="78">
        <v>64.09999999999999</v>
      </c>
      <c r="G12" t="s" s="42">
        <v>215</v>
      </c>
      <c r="H12" s="46"/>
      <c r="I12" s="46"/>
    </row>
    <row r="13" ht="13.65" customHeight="1">
      <c r="A13" t="s" s="42">
        <v>240</v>
      </c>
      <c r="B13" t="s" s="42">
        <v>241</v>
      </c>
      <c r="C13" t="s" s="42">
        <v>220</v>
      </c>
      <c r="D13" t="s" s="42">
        <v>38</v>
      </c>
      <c r="E13" s="78">
        <v>-22.26</v>
      </c>
      <c r="F13" s="78">
        <v>48.5</v>
      </c>
      <c r="G13" t="s" s="42">
        <v>215</v>
      </c>
      <c r="H13" s="46"/>
      <c r="I13" s="46"/>
    </row>
    <row r="14" ht="13.65" customHeight="1">
      <c r="A14" t="s" s="42">
        <v>219</v>
      </c>
      <c r="B14" t="s" s="42">
        <v>241</v>
      </c>
      <c r="C14" t="s" s="42">
        <v>220</v>
      </c>
      <c r="D14" t="s" s="42">
        <v>38</v>
      </c>
      <c r="E14" s="78">
        <v>-19.76</v>
      </c>
      <c r="F14" s="78">
        <v>28.1</v>
      </c>
      <c r="G14" t="s" s="42">
        <v>215</v>
      </c>
      <c r="H14" s="46"/>
      <c r="I14" s="46"/>
    </row>
    <row r="15" ht="13.65" customHeight="1">
      <c r="A15" t="s" s="42">
        <v>207</v>
      </c>
      <c r="B15" t="s" s="42">
        <v>22</v>
      </c>
      <c r="C15" t="s" s="42">
        <v>23</v>
      </c>
      <c r="D15" t="s" s="42">
        <v>21</v>
      </c>
      <c r="E15" s="78">
        <v>-17.85</v>
      </c>
      <c r="F15" s="78">
        <v>1</v>
      </c>
      <c r="G15" t="s" s="42">
        <v>209</v>
      </c>
      <c r="H15" s="46"/>
      <c r="I15" s="46"/>
    </row>
    <row r="16" ht="13.65" customHeight="1">
      <c r="A16" t="s" s="42">
        <v>207</v>
      </c>
      <c r="B16" t="s" s="42">
        <v>35</v>
      </c>
      <c r="C16" t="s" s="42">
        <v>36</v>
      </c>
      <c r="D16" t="s" s="42">
        <v>34</v>
      </c>
      <c r="E16" s="78">
        <v>-16.91</v>
      </c>
      <c r="F16" s="78">
        <v>0.8</v>
      </c>
      <c r="G16" t="s" s="42">
        <v>209</v>
      </c>
      <c r="H16" s="46"/>
      <c r="I16" s="46"/>
    </row>
    <row r="17" ht="13.65" customHeight="1">
      <c r="A17" t="s" s="42">
        <v>242</v>
      </c>
      <c r="B17" t="s" s="42">
        <v>243</v>
      </c>
      <c r="C17" t="s" s="42">
        <v>244</v>
      </c>
      <c r="D17" t="s" s="42">
        <v>38</v>
      </c>
      <c r="E17" s="78">
        <v>-16.88</v>
      </c>
      <c r="F17" s="78">
        <v>13.6</v>
      </c>
      <c r="G17" t="s" s="42">
        <v>215</v>
      </c>
      <c r="H17" s="46"/>
      <c r="I17" s="46"/>
    </row>
    <row r="18" ht="13.65" customHeight="1">
      <c r="A18" t="s" s="42">
        <v>229</v>
      </c>
      <c r="B18" t="s" s="42">
        <v>42</v>
      </c>
      <c r="C18" t="s" s="42">
        <v>43</v>
      </c>
      <c r="D18" t="s" s="42">
        <v>41</v>
      </c>
      <c r="E18" s="78">
        <v>16.78</v>
      </c>
      <c r="F18" s="78">
        <v>31.5</v>
      </c>
      <c r="G18" t="s" s="42">
        <v>215</v>
      </c>
      <c r="H18" s="46"/>
      <c r="I18" s="46"/>
    </row>
    <row r="19" ht="13.65" customHeight="1">
      <c r="A19" t="s" s="42">
        <v>224</v>
      </c>
      <c r="B19" t="s" s="42">
        <v>245</v>
      </c>
      <c r="C19" t="s" s="42">
        <v>225</v>
      </c>
      <c r="D19" t="s" s="42">
        <v>41</v>
      </c>
      <c r="E19" s="78">
        <v>-16.19</v>
      </c>
      <c r="F19" s="78">
        <v>14.6</v>
      </c>
      <c r="G19" t="s" s="42">
        <v>215</v>
      </c>
      <c r="H19" s="46"/>
      <c r="I19" s="46"/>
    </row>
    <row r="20" ht="13.65" customHeight="1">
      <c r="A20" t="s" s="42">
        <v>246</v>
      </c>
      <c r="B20" t="s" s="42">
        <v>241</v>
      </c>
      <c r="C20" t="s" s="42">
        <v>220</v>
      </c>
      <c r="D20" t="s" s="42">
        <v>38</v>
      </c>
      <c r="E20" s="78">
        <v>16.16</v>
      </c>
      <c r="F20" s="78">
        <v>10.8</v>
      </c>
      <c r="G20" t="s" s="42">
        <v>215</v>
      </c>
      <c r="H20" s="46"/>
      <c r="I20" s="46"/>
    </row>
    <row r="21" ht="13.65" customHeight="1">
      <c r="A21" t="s" s="42">
        <v>207</v>
      </c>
      <c r="B21" t="s" s="42">
        <v>247</v>
      </c>
      <c r="C21" t="s" s="42">
        <v>248</v>
      </c>
      <c r="D21" t="s" s="42">
        <v>41</v>
      </c>
      <c r="E21" s="78">
        <v>-15.47</v>
      </c>
      <c r="F21" s="78">
        <v>-0.4</v>
      </c>
      <c r="G21" t="s" s="42">
        <v>209</v>
      </c>
      <c r="H21" s="46"/>
      <c r="I21" s="46"/>
    </row>
    <row r="22" ht="13.65" customHeight="1">
      <c r="A22" t="s" s="42">
        <v>249</v>
      </c>
      <c r="B22" t="s" s="42">
        <v>39</v>
      </c>
      <c r="C22" t="s" s="42">
        <v>40</v>
      </c>
      <c r="D22" t="s" s="42">
        <v>38</v>
      </c>
      <c r="E22" s="78">
        <v>-15.06</v>
      </c>
      <c r="F22" s="78">
        <v>22.2</v>
      </c>
      <c r="G22" t="s" s="42">
        <v>215</v>
      </c>
      <c r="H22" s="46"/>
      <c r="I22" s="46"/>
    </row>
    <row r="23" ht="13.65" customHeight="1">
      <c r="A23" t="s" s="42">
        <v>213</v>
      </c>
      <c r="B23" t="s" s="42">
        <v>22</v>
      </c>
      <c r="C23" t="s" s="42">
        <v>23</v>
      </c>
      <c r="D23" t="s" s="42">
        <v>21</v>
      </c>
      <c r="E23" s="78">
        <v>14.69</v>
      </c>
      <c r="F23" s="78">
        <v>14.1</v>
      </c>
      <c r="G23" t="s" s="42">
        <v>215</v>
      </c>
      <c r="H23" s="46"/>
      <c r="I23" s="46"/>
    </row>
    <row r="24" ht="13.65" customHeight="1">
      <c r="A24" t="s" s="42">
        <v>250</v>
      </c>
      <c r="B24" t="s" s="42">
        <v>241</v>
      </c>
      <c r="C24" t="s" s="42">
        <v>220</v>
      </c>
      <c r="D24" t="s" s="42">
        <v>38</v>
      </c>
      <c r="E24" s="78">
        <v>14.68</v>
      </c>
      <c r="F24" s="78">
        <v>22.2</v>
      </c>
      <c r="G24" t="s" s="42">
        <v>215</v>
      </c>
      <c r="H24" s="46"/>
      <c r="I24" s="46"/>
    </row>
    <row r="25" ht="13.65" customHeight="1">
      <c r="A25" t="s" s="42">
        <v>251</v>
      </c>
      <c r="B25" t="s" s="42">
        <v>252</v>
      </c>
      <c r="C25" t="s" s="42">
        <v>253</v>
      </c>
      <c r="D25" t="s" s="42">
        <v>38</v>
      </c>
      <c r="E25" s="78">
        <v>-14.56</v>
      </c>
      <c r="F25" s="78">
        <v>9.199999999999999</v>
      </c>
      <c r="G25" t="s" s="42">
        <v>215</v>
      </c>
      <c r="H25" s="46"/>
      <c r="I25" s="46"/>
    </row>
    <row r="26" ht="13.65" customHeight="1">
      <c r="A26" t="s" s="42">
        <v>254</v>
      </c>
      <c r="B26" t="s" s="42">
        <v>239</v>
      </c>
      <c r="C26" t="s" s="42">
        <v>214</v>
      </c>
      <c r="D26" t="s" s="42">
        <v>21</v>
      </c>
      <c r="E26" s="78">
        <v>-14.4</v>
      </c>
      <c r="F26" s="78">
        <v>7.3</v>
      </c>
      <c r="G26" t="s" s="42">
        <v>215</v>
      </c>
      <c r="H26" s="46"/>
      <c r="I26" s="46"/>
    </row>
    <row r="27" ht="13.65" customHeight="1">
      <c r="A27" t="s" s="42">
        <v>255</v>
      </c>
      <c r="B27" t="s" s="42">
        <v>247</v>
      </c>
      <c r="C27" t="s" s="42">
        <v>248</v>
      </c>
      <c r="D27" t="s" s="42">
        <v>41</v>
      </c>
      <c r="E27" s="78">
        <v>-14.24</v>
      </c>
      <c r="F27" s="78">
        <v>35.6</v>
      </c>
      <c r="G27" t="s" s="42">
        <v>215</v>
      </c>
      <c r="H27" s="46"/>
      <c r="I27" s="46"/>
    </row>
    <row r="28" ht="13.65" customHeight="1">
      <c r="A28" t="s" s="42">
        <v>256</v>
      </c>
      <c r="B28" t="s" s="42">
        <v>238</v>
      </c>
      <c r="C28" t="s" s="42">
        <v>208</v>
      </c>
      <c r="D28" t="s" s="42">
        <v>21</v>
      </c>
      <c r="E28" s="78">
        <v>14.18</v>
      </c>
      <c r="F28" s="78">
        <v>3.7</v>
      </c>
      <c r="G28" t="s" s="42">
        <v>215</v>
      </c>
      <c r="H28" s="46"/>
      <c r="I28" s="46"/>
    </row>
    <row r="29" ht="13.65" customHeight="1">
      <c r="A29" t="s" s="42">
        <v>257</v>
      </c>
      <c r="B29" t="s" s="42">
        <v>252</v>
      </c>
      <c r="C29" t="s" s="42">
        <v>253</v>
      </c>
      <c r="D29" t="s" s="42">
        <v>38</v>
      </c>
      <c r="E29" s="78">
        <v>13.87</v>
      </c>
      <c r="F29" s="78">
        <v>6.9</v>
      </c>
      <c r="G29" t="s" s="42">
        <v>215</v>
      </c>
      <c r="H29" s="46"/>
      <c r="I29" s="46"/>
    </row>
    <row r="30" ht="13.65" customHeight="1">
      <c r="A30" t="s" s="42">
        <v>258</v>
      </c>
      <c r="B30" t="s" s="42">
        <v>239</v>
      </c>
      <c r="C30" t="s" s="42">
        <v>214</v>
      </c>
      <c r="D30" t="s" s="42">
        <v>21</v>
      </c>
      <c r="E30" s="78">
        <v>13.83</v>
      </c>
      <c r="F30" s="78">
        <v>3</v>
      </c>
      <c r="G30" t="s" s="42">
        <v>209</v>
      </c>
      <c r="H30" s="46"/>
      <c r="I30" s="46"/>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T142"/>
  <sheetViews>
    <sheetView workbookViewId="0" showGridLines="0" defaultGridColor="1"/>
  </sheetViews>
  <sheetFormatPr defaultColWidth="8.66667" defaultRowHeight="15.4" customHeight="1" outlineLevelRow="0" outlineLevelCol="0"/>
  <cols>
    <col min="1" max="2" width="11" style="79" customWidth="1"/>
    <col min="3" max="4" width="15" style="79" customWidth="1"/>
    <col min="5" max="6" width="16" style="79" customWidth="1"/>
    <col min="7" max="7" width="15" style="79" customWidth="1"/>
    <col min="8" max="8" width="3" style="79" customWidth="1"/>
    <col min="9" max="9" width="26" style="79" customWidth="1"/>
    <col min="10" max="10" width="12" style="79" customWidth="1"/>
    <col min="11" max="11" width="13" style="79" customWidth="1"/>
    <col min="12" max="20" width="8.67188" style="79" customWidth="1"/>
    <col min="21" max="16384" width="8.67188" style="79" customWidth="1"/>
  </cols>
  <sheetData>
    <row r="1" ht="13.65" customHeight="1">
      <c r="A1" t="s" s="80">
        <v>260</v>
      </c>
      <c r="B1" t="s" s="81">
        <v>261</v>
      </c>
      <c r="C1" t="s" s="81">
        <v>262</v>
      </c>
      <c r="D1" t="s" s="81">
        <v>263</v>
      </c>
      <c r="E1" t="s" s="81">
        <v>264</v>
      </c>
      <c r="F1" t="s" s="81">
        <v>265</v>
      </c>
      <c r="G1" t="s" s="81">
        <v>266</v>
      </c>
      <c r="H1" s="82"/>
      <c r="I1" t="s" s="83">
        <v>162</v>
      </c>
      <c r="J1" s="84"/>
      <c r="K1" s="84"/>
      <c r="L1" s="46"/>
      <c r="M1" s="46"/>
      <c r="N1" s="46"/>
      <c r="O1" s="46"/>
      <c r="P1" s="46"/>
      <c r="Q1" s="46"/>
      <c r="R1" s="46"/>
      <c r="S1" s="46"/>
      <c r="T1" s="46"/>
    </row>
    <row r="2" ht="13.65" customHeight="1">
      <c r="A2" t="s" s="85">
        <v>267</v>
      </c>
      <c r="B2" t="s" s="86">
        <v>30</v>
      </c>
      <c r="C2" s="87">
        <v>2.86</v>
      </c>
      <c r="D2" s="87">
        <v>0.62</v>
      </c>
      <c r="E2" s="87" cm="1">
        <f t="array" ref="E2">100*(1+C2/100)</f>
        <v>102.86</v>
      </c>
      <c r="F2" s="87" cm="1">
        <f t="array" ref="F2">100*(1+D2/100)</f>
        <v>100.62</v>
      </c>
      <c r="G2" t="str" s="88" cm="1">
        <f t="array" ref="G2">IF(C2&gt;D2,"Yes","No")</f>
        <v>Yes</v>
      </c>
      <c r="H2" s="84"/>
      <c r="I2" s="89"/>
      <c r="J2" t="s" s="83">
        <v>269</v>
      </c>
      <c r="K2" t="s" s="83">
        <v>270</v>
      </c>
      <c r="L2" s="46"/>
      <c r="M2" s="46"/>
      <c r="N2" s="46"/>
      <c r="O2" s="46"/>
      <c r="P2" s="46"/>
      <c r="Q2" s="46"/>
      <c r="R2" s="46"/>
      <c r="S2" s="46"/>
      <c r="T2" s="46"/>
    </row>
    <row r="3" ht="13.65" customHeight="1">
      <c r="A3" t="s" s="90">
        <v>271</v>
      </c>
      <c r="B3" t="s" s="83">
        <v>41</v>
      </c>
      <c r="C3" s="91">
        <v>-4.76</v>
      </c>
      <c r="D3" s="91">
        <v>-0.91</v>
      </c>
      <c r="E3" s="91" cm="1">
        <f t="array" ref="E3">E2*(1+C3/100)</f>
        <v>97.963864</v>
      </c>
      <c r="F3" s="91" cm="1">
        <f t="array" ref="F3">F2*(1+D3/100)</f>
        <v>99.704358</v>
      </c>
      <c r="G3" t="str" s="92" cm="1">
        <f t="array" ref="G3">IF(C3&gt;D3,"Yes","No")</f>
        <v>No</v>
      </c>
      <c r="H3" s="84"/>
      <c r="I3" t="s" s="83">
        <v>273</v>
      </c>
      <c r="J3" s="93" cm="1">
        <f t="array" ref="J3">E142</f>
        <v>463.116780962670</v>
      </c>
      <c r="K3" s="93" cm="1">
        <f t="array" ref="K3">F142</f>
        <v>420.170522328947</v>
      </c>
      <c r="L3" s="46"/>
      <c r="M3" s="46"/>
      <c r="N3" s="46"/>
      <c r="O3" s="46"/>
      <c r="P3" s="46"/>
      <c r="Q3" s="46"/>
      <c r="R3" s="46"/>
      <c r="S3" s="46"/>
      <c r="T3" s="46"/>
    </row>
    <row r="4" ht="13.65" customHeight="1">
      <c r="A4" t="s" s="90">
        <v>274</v>
      </c>
      <c r="B4" t="s" s="83">
        <v>38</v>
      </c>
      <c r="C4" s="91">
        <v>-7.7</v>
      </c>
      <c r="D4" s="91">
        <v>-4.31</v>
      </c>
      <c r="E4" s="91" cm="1">
        <f t="array" ref="E4">E3*(1+C4/100)</f>
        <v>90.420646472</v>
      </c>
      <c r="F4" s="91" cm="1">
        <f t="array" ref="F4">F3*(1+D4/100)</f>
        <v>95.4071001702</v>
      </c>
      <c r="G4" t="str" s="92" cm="1">
        <f t="array" ref="G4">IF(C4&gt;D4,"Yes","No")</f>
        <v>No</v>
      </c>
      <c r="H4" s="84"/>
      <c r="I4" t="s" s="83">
        <v>275</v>
      </c>
      <c r="J4" s="94" cm="1">
        <f t="array" ref="J4">E142/100-1</f>
        <v>3.6311678096267</v>
      </c>
      <c r="K4" s="94" cm="1">
        <f t="array" ref="K4">F142/100-1</f>
        <v>3.20170522328947</v>
      </c>
      <c r="L4" s="46"/>
      <c r="M4" s="46"/>
      <c r="N4" s="46"/>
      <c r="O4" s="46"/>
      <c r="P4" s="46"/>
      <c r="Q4" s="46"/>
      <c r="R4" s="46"/>
      <c r="S4" s="46"/>
      <c r="T4" s="46"/>
    </row>
    <row r="5" ht="13.65" customHeight="1">
      <c r="A5" t="s" s="90">
        <v>276</v>
      </c>
      <c r="B5" t="s" s="83">
        <v>21</v>
      </c>
      <c r="C5" s="91">
        <v>2.98</v>
      </c>
      <c r="D5" s="91">
        <v>6.19</v>
      </c>
      <c r="E5" s="91" cm="1">
        <f t="array" ref="E5">E4*(1+C5/100)</f>
        <v>93.11518173686559</v>
      </c>
      <c r="F5" s="91" cm="1">
        <f t="array" ref="F5">F4*(1+D5/100)</f>
        <v>101.312799670735</v>
      </c>
      <c r="G5" t="str" s="92" cm="1">
        <f t="array" ref="G5">IF(C5&gt;D5,"Yes","No")</f>
        <v>No</v>
      </c>
      <c r="H5" s="84"/>
      <c r="I5" t="s" s="83">
        <v>277</v>
      </c>
      <c r="J5" s="94" cm="1">
        <f t="array" ref="J5">(E142/100)^(12/COUNT(C2:C142))-1</f>
        <v>0.13934306228265</v>
      </c>
      <c r="K5" s="94" cm="1">
        <f t="array" ref="K5">(F142/100)^(12/COUNT(D2:D142))-1</f>
        <v>0.129945498185635</v>
      </c>
      <c r="L5" s="46"/>
      <c r="M5" s="46"/>
      <c r="N5" s="46"/>
      <c r="O5" s="46"/>
      <c r="P5" s="46"/>
      <c r="Q5" s="46"/>
      <c r="R5" s="46"/>
      <c r="S5" s="46"/>
      <c r="T5" s="46"/>
    </row>
    <row r="6" ht="13.65" customHeight="1">
      <c r="A6" t="s" s="90">
        <v>278</v>
      </c>
      <c r="B6" t="s" s="83">
        <v>34</v>
      </c>
      <c r="C6" s="91">
        <v>3.26</v>
      </c>
      <c r="D6" s="91">
        <v>-0.65</v>
      </c>
      <c r="E6" s="91" cm="1">
        <f t="array" ref="E6">E5*(1+C6/100)</f>
        <v>96.1507366614874</v>
      </c>
      <c r="F6" s="91" cm="1">
        <f t="array" ref="F6">F5*(1+D6/100)</f>
        <v>100.654266472875</v>
      </c>
      <c r="G6" t="str" s="92" cm="1">
        <f t="array" ref="G6">IF(C6&gt;D6,"Yes","No")</f>
        <v>Yes</v>
      </c>
      <c r="H6" s="84"/>
      <c r="I6" t="s" s="83">
        <v>279</v>
      </c>
      <c r="J6" s="94" cm="1">
        <f t="array" ref="J6">STDEV(C2:C142)/100*SQRT(12)</f>
        <v>0.211903737650838</v>
      </c>
      <c r="K6" s="94" cm="1">
        <f t="array" ref="K6">STDEV(D2:D142)/100*SQRT(12)</f>
        <v>0.141644222955462</v>
      </c>
      <c r="L6" s="46"/>
      <c r="M6" s="46"/>
      <c r="N6" s="46"/>
      <c r="O6" s="46"/>
      <c r="P6" s="46"/>
      <c r="Q6" s="46"/>
      <c r="R6" s="46"/>
      <c r="S6" s="46"/>
      <c r="T6" s="46"/>
    </row>
    <row r="7" ht="13.65" customHeight="1">
      <c r="A7" t="s" s="90">
        <v>280</v>
      </c>
      <c r="B7" t="s" s="83">
        <v>34</v>
      </c>
      <c r="C7" s="91">
        <v>4.13</v>
      </c>
      <c r="D7" s="91">
        <v>4.31</v>
      </c>
      <c r="E7" s="91" cm="1">
        <f t="array" ref="E7">E6*(1+C7/100)</f>
        <v>100.121762085607</v>
      </c>
      <c r="F7" s="91" cm="1">
        <f t="array" ref="F7">F6*(1+D7/100)</f>
        <v>104.992465357856</v>
      </c>
      <c r="G7" t="str" s="92" cm="1">
        <f t="array" ref="G7">IF(C7&gt;D7,"Yes","No")</f>
        <v>No</v>
      </c>
      <c r="H7" s="84"/>
      <c r="I7" t="s" s="83">
        <v>281</v>
      </c>
      <c r="J7" s="94" cm="1">
        <f t="array" ref="J7">MAX(C2:C142)/100</f>
        <v>0.3151</v>
      </c>
      <c r="K7" s="94" cm="1">
        <f t="array" ref="K7">MAX(D2:D142)/100</f>
        <v>0.1694</v>
      </c>
      <c r="L7" s="46"/>
      <c r="M7" s="46"/>
      <c r="N7" s="46"/>
      <c r="O7" s="46"/>
      <c r="P7" s="46"/>
      <c r="Q7" s="46"/>
      <c r="R7" s="46"/>
      <c r="S7" s="46"/>
      <c r="T7" s="46"/>
    </row>
    <row r="8" ht="13.65" customHeight="1">
      <c r="A8" t="s" s="90">
        <v>282</v>
      </c>
      <c r="B8" t="s" s="83">
        <v>41</v>
      </c>
      <c r="C8" s="91">
        <v>-0.08</v>
      </c>
      <c r="D8" s="91">
        <v>-2.27</v>
      </c>
      <c r="E8" s="91" cm="1">
        <f t="array" ref="E8">E7*(1+C8/100)</f>
        <v>100.041664675939</v>
      </c>
      <c r="F8" s="91" cm="1">
        <f t="array" ref="F8">F7*(1+D8/100)</f>
        <v>102.609136394233</v>
      </c>
      <c r="G8" t="str" s="92" cm="1">
        <f t="array" ref="G8">IF(C8&gt;D8,"Yes","No")</f>
        <v>Yes</v>
      </c>
      <c r="H8" s="84"/>
      <c r="I8" t="s" s="83">
        <v>283</v>
      </c>
      <c r="J8" s="94" cm="1">
        <f t="array" ref="J8">MIN(C2:C142)/100</f>
        <v>-0.1269</v>
      </c>
      <c r="K8" s="94" cm="1">
        <f t="array" ref="K8">MIN(D2:D142)/100</f>
        <v>-0.159</v>
      </c>
      <c r="L8" s="46"/>
      <c r="M8" s="46"/>
      <c r="N8" s="46"/>
      <c r="O8" s="46"/>
      <c r="P8" s="46"/>
      <c r="Q8" s="46"/>
      <c r="R8" s="46"/>
      <c r="S8" s="46"/>
      <c r="T8" s="46"/>
    </row>
    <row r="9" ht="13.65" customHeight="1">
      <c r="A9" t="s" s="90">
        <v>284</v>
      </c>
      <c r="B9" t="s" s="83">
        <v>38</v>
      </c>
      <c r="C9" s="91">
        <v>-2.73</v>
      </c>
      <c r="D9" s="91">
        <v>0.97</v>
      </c>
      <c r="E9" s="91" cm="1">
        <f t="array" ref="E9">E8*(1+C9/100)</f>
        <v>97.3105272302859</v>
      </c>
      <c r="F9" s="91" cm="1">
        <f t="array" ref="F9">F8*(1+D9/100)</f>
        <v>103.604445017257</v>
      </c>
      <c r="G9" t="str" s="92" cm="1">
        <f t="array" ref="G9">IF(C9&gt;D9,"Yes","No")</f>
        <v>No</v>
      </c>
      <c r="H9" s="84"/>
      <c r="I9" t="s" s="83">
        <v>285</v>
      </c>
      <c r="J9" s="94" cm="1">
        <f t="array" ref="J9">COUNTIF(G2:G142,"Yes")/COUNT(C2:C142)</f>
        <v>0.5106382978723401</v>
      </c>
      <c r="K9" s="84"/>
      <c r="L9" s="46"/>
      <c r="M9" s="46"/>
      <c r="N9" s="46"/>
      <c r="O9" s="46"/>
      <c r="P9" s="46"/>
      <c r="Q9" s="46"/>
      <c r="R9" s="46"/>
      <c r="S9" s="46"/>
      <c r="T9" s="46"/>
    </row>
    <row r="10" ht="13.65" customHeight="1">
      <c r="A10" t="s" s="90">
        <v>286</v>
      </c>
      <c r="B10" t="s" s="83">
        <v>41</v>
      </c>
      <c r="C10" s="91">
        <v>-4.39</v>
      </c>
      <c r="D10" s="91">
        <v>0.23</v>
      </c>
      <c r="E10" s="91" cm="1">
        <f t="array" ref="E10">E9*(1+C10/100)</f>
        <v>93.03859508487631</v>
      </c>
      <c r="F10" s="91" cm="1">
        <f t="array" ref="F10">F9*(1+D10/100)</f>
        <v>103.842735240797</v>
      </c>
      <c r="G10" t="str" s="92" cm="1">
        <f t="array" ref="G10">IF(C10&gt;D10,"Yes","No")</f>
        <v>No</v>
      </c>
      <c r="H10" s="84"/>
      <c r="I10" s="84"/>
      <c r="J10" s="84"/>
      <c r="K10" s="84"/>
      <c r="L10" s="46"/>
      <c r="M10" s="46"/>
      <c r="N10" s="46"/>
      <c r="O10" s="46"/>
      <c r="P10" s="46"/>
      <c r="Q10" s="46"/>
      <c r="R10" s="46"/>
      <c r="S10" s="46"/>
      <c r="T10" s="46"/>
    </row>
    <row r="11" ht="13.65" customHeight="1">
      <c r="A11" t="s" s="90">
        <v>287</v>
      </c>
      <c r="B11" t="s" s="83">
        <v>38</v>
      </c>
      <c r="C11" s="91">
        <v>-12.03</v>
      </c>
      <c r="D11" s="91">
        <v>-2.58</v>
      </c>
      <c r="E11" s="91" cm="1">
        <f t="array" ref="E11">E10*(1+C11/100)</f>
        <v>81.84605209616571</v>
      </c>
      <c r="F11" s="91" cm="1">
        <f t="array" ref="F11">F10*(1+D11/100)</f>
        <v>101.163592671584</v>
      </c>
      <c r="G11" t="str" s="92" cm="1">
        <f t="array" ref="G11">IF(C11&gt;D11,"Yes","No")</f>
        <v>No</v>
      </c>
      <c r="H11" s="84"/>
      <c r="I11" t="s" s="95">
        <v>288</v>
      </c>
      <c r="J11" s="84"/>
      <c r="K11" s="84"/>
      <c r="L11" s="46"/>
      <c r="M11" s="46"/>
      <c r="N11" s="46"/>
      <c r="O11" s="46"/>
      <c r="P11" s="46"/>
      <c r="Q11" s="46"/>
      <c r="R11" s="46"/>
      <c r="S11" s="46"/>
      <c r="T11" s="46"/>
    </row>
    <row r="12" ht="13.65" customHeight="1">
      <c r="A12" t="s" s="90">
        <v>289</v>
      </c>
      <c r="B12" t="s" s="83">
        <v>34</v>
      </c>
      <c r="C12" s="91">
        <v>-0.46</v>
      </c>
      <c r="D12" s="91">
        <v>0.12</v>
      </c>
      <c r="E12" s="91" cm="1">
        <f t="array" ref="E12">E11*(1+C12/100)</f>
        <v>81.46956025652329</v>
      </c>
      <c r="F12" s="91" cm="1">
        <f t="array" ref="F12">F11*(1+D12/100)</f>
        <v>101.284988982790</v>
      </c>
      <c r="G12" t="str" s="92" cm="1">
        <f t="array" ref="G12">IF(C12&gt;D12,"Yes","No")</f>
        <v>No</v>
      </c>
      <c r="H12" s="84"/>
      <c r="I12" s="84"/>
      <c r="J12" s="84"/>
      <c r="K12" s="84"/>
      <c r="L12" s="46"/>
      <c r="M12" s="46"/>
      <c r="N12" s="46"/>
      <c r="O12" s="46"/>
      <c r="P12" s="46"/>
      <c r="Q12" s="46"/>
      <c r="R12" s="46"/>
      <c r="S12" s="46"/>
      <c r="T12" s="46"/>
    </row>
    <row r="13" ht="13.65" customHeight="1">
      <c r="A13" t="s" s="90">
        <v>290</v>
      </c>
      <c r="B13" t="s" s="83">
        <v>38</v>
      </c>
      <c r="C13" s="91">
        <v>-2.4</v>
      </c>
      <c r="D13" s="91">
        <v>-4.7</v>
      </c>
      <c r="E13" s="91" cm="1">
        <f t="array" ref="E13">E12*(1+C13/100)</f>
        <v>79.5142908103667</v>
      </c>
      <c r="F13" s="91" cm="1">
        <f t="array" ref="F13">F12*(1+D13/100)</f>
        <v>96.52459450059889</v>
      </c>
      <c r="G13" t="str" s="92" cm="1">
        <f t="array" ref="G13">IF(C13&gt;D13,"Yes","No")</f>
        <v>Yes</v>
      </c>
      <c r="H13" s="84"/>
      <c r="I13" s="84"/>
      <c r="J13" s="84"/>
      <c r="K13" s="84"/>
      <c r="L13" s="46"/>
      <c r="M13" s="46"/>
      <c r="N13" s="46"/>
      <c r="O13" s="46"/>
      <c r="P13" s="46"/>
      <c r="Q13" s="46"/>
      <c r="R13" s="46"/>
      <c r="S13" s="46"/>
      <c r="T13" s="46"/>
    </row>
    <row r="14" ht="13.65" customHeight="1">
      <c r="A14" t="s" s="90">
        <v>291</v>
      </c>
      <c r="B14" t="s" s="83">
        <v>41</v>
      </c>
      <c r="C14" s="91">
        <v>-9.34</v>
      </c>
      <c r="D14" s="91">
        <v>-6.58</v>
      </c>
      <c r="E14" s="91" cm="1">
        <f t="array" ref="E14">E13*(1+C14/100)</f>
        <v>72.0876560486785</v>
      </c>
      <c r="F14" s="91" cm="1">
        <f t="array" ref="F14">F13*(1+D14/100)</f>
        <v>90.1732761824595</v>
      </c>
      <c r="G14" t="str" s="92" cm="1">
        <f t="array" ref="G14">IF(C14&gt;D14,"Yes","No")</f>
        <v>No</v>
      </c>
      <c r="H14" s="84"/>
      <c r="I14" s="84"/>
      <c r="J14" s="84"/>
      <c r="K14" s="84"/>
      <c r="L14" s="46"/>
      <c r="M14" s="46"/>
      <c r="N14" s="46"/>
      <c r="O14" s="46"/>
      <c r="P14" s="46"/>
      <c r="Q14" s="46"/>
      <c r="R14" s="46"/>
      <c r="S14" s="46"/>
      <c r="T14" s="46"/>
    </row>
    <row r="15" ht="13.65" customHeight="1">
      <c r="A15" t="s" s="90">
        <v>292</v>
      </c>
      <c r="B15" t="s" s="83">
        <v>34</v>
      </c>
      <c r="C15" s="91">
        <v>9.289999999999999</v>
      </c>
      <c r="D15" s="91">
        <v>7.96</v>
      </c>
      <c r="E15" s="91" cm="1">
        <f t="array" ref="E15">E14*(1+C15/100)</f>
        <v>78.7845992956007</v>
      </c>
      <c r="F15" s="91" cm="1">
        <f t="array" ref="F15">F14*(1+D15/100)</f>
        <v>97.3510689665833</v>
      </c>
      <c r="G15" t="str" s="92" cm="1">
        <f t="array" ref="G15">IF(C15&gt;D15,"Yes","No")</f>
        <v>Yes</v>
      </c>
      <c r="H15" s="84"/>
      <c r="I15" s="84"/>
      <c r="J15" s="84"/>
      <c r="K15" s="84"/>
      <c r="L15" s="46"/>
      <c r="M15" s="46"/>
      <c r="N15" s="46"/>
      <c r="O15" s="46"/>
      <c r="P15" s="46"/>
      <c r="Q15" s="46"/>
      <c r="R15" s="46"/>
      <c r="S15" s="46"/>
      <c r="T15" s="46"/>
    </row>
    <row r="16" ht="13.65" customHeight="1">
      <c r="A16" t="s" s="90">
        <v>293</v>
      </c>
      <c r="B16" t="s" s="83">
        <v>21</v>
      </c>
      <c r="C16" s="91">
        <v>3.06</v>
      </c>
      <c r="D16" s="91">
        <v>2.54</v>
      </c>
      <c r="E16" s="91" cm="1">
        <f t="array" ref="E16">E15*(1+C16/100)</f>
        <v>81.1954080340461</v>
      </c>
      <c r="F16" s="91" cm="1">
        <f t="array" ref="F16">F15*(1+D16/100)</f>
        <v>99.8237861183345</v>
      </c>
      <c r="G16" t="str" s="92" cm="1">
        <f t="array" ref="G16">IF(C16&gt;D16,"Yes","No")</f>
        <v>Yes</v>
      </c>
      <c r="H16" s="84"/>
      <c r="I16" s="84"/>
      <c r="J16" s="84"/>
      <c r="K16" s="84"/>
      <c r="L16" s="46"/>
      <c r="M16" s="46"/>
      <c r="N16" s="46"/>
      <c r="O16" s="46"/>
      <c r="P16" s="46"/>
      <c r="Q16" s="46"/>
      <c r="R16" s="46"/>
      <c r="S16" s="46"/>
      <c r="T16" s="46"/>
    </row>
    <row r="17" ht="13.65" customHeight="1">
      <c r="A17" t="s" s="90">
        <v>294</v>
      </c>
      <c r="B17" t="s" s="83">
        <v>38</v>
      </c>
      <c r="C17" s="91">
        <v>-3.68</v>
      </c>
      <c r="D17" s="91">
        <v>2.17</v>
      </c>
      <c r="E17" s="91" cm="1">
        <f t="array" ref="E17">E16*(1+C17/100)</f>
        <v>78.2074170183932</v>
      </c>
      <c r="F17" s="91" cm="1">
        <f t="array" ref="F17">F16*(1+D17/100)</f>
        <v>101.989962277102</v>
      </c>
      <c r="G17" t="str" s="92" cm="1">
        <f t="array" ref="G17">IF(C17&gt;D17,"Yes","No")</f>
        <v>No</v>
      </c>
      <c r="H17" s="84"/>
      <c r="I17" s="84"/>
      <c r="J17" s="84"/>
      <c r="K17" s="84"/>
      <c r="L17" s="46"/>
      <c r="M17" s="46"/>
      <c r="N17" s="46"/>
      <c r="O17" s="46"/>
      <c r="P17" s="46"/>
      <c r="Q17" s="46"/>
      <c r="R17" s="46"/>
      <c r="S17" s="46"/>
      <c r="T17" s="46"/>
    </row>
    <row r="18" ht="13.65" customHeight="1">
      <c r="A18" t="s" s="90">
        <v>295</v>
      </c>
      <c r="B18" t="s" s="83">
        <v>21</v>
      </c>
      <c r="C18" s="91">
        <v>3.01</v>
      </c>
      <c r="D18" s="91">
        <v>2.78</v>
      </c>
      <c r="E18" s="91" cm="1">
        <f t="array" ref="E18">E17*(1+C18/100)</f>
        <v>80.5614602706468</v>
      </c>
      <c r="F18" s="91" cm="1">
        <f t="array" ref="F18">F17*(1+D18/100)</f>
        <v>104.825283228405</v>
      </c>
      <c r="G18" t="str" s="92" cm="1">
        <f t="array" ref="G18">IF(C18&gt;D18,"Yes","No")</f>
        <v>Yes</v>
      </c>
      <c r="H18" s="84"/>
      <c r="I18" s="84"/>
      <c r="J18" s="84"/>
      <c r="K18" s="84"/>
      <c r="L18" s="46"/>
      <c r="M18" s="46"/>
      <c r="N18" s="46"/>
      <c r="O18" s="46"/>
      <c r="P18" s="46"/>
      <c r="Q18" s="46"/>
      <c r="R18" s="46"/>
      <c r="S18" s="46"/>
      <c r="T18" s="46"/>
    </row>
    <row r="19" ht="13.65" customHeight="1">
      <c r="A19" t="s" s="90">
        <v>296</v>
      </c>
      <c r="B19" t="s" s="83">
        <v>21</v>
      </c>
      <c r="C19" s="91">
        <v>4.79</v>
      </c>
      <c r="D19" s="91">
        <v>3.87</v>
      </c>
      <c r="E19" s="91" cm="1">
        <f t="array" ref="E19">E18*(1+C19/100)</f>
        <v>84.42035421761079</v>
      </c>
      <c r="F19" s="91" cm="1">
        <f t="array" ref="F19">F18*(1+D19/100)</f>
        <v>108.882021689344</v>
      </c>
      <c r="G19" t="str" s="92" cm="1">
        <f t="array" ref="G19">IF(C19&gt;D19,"Yes","No")</f>
        <v>Yes</v>
      </c>
      <c r="H19" s="84"/>
      <c r="I19" s="84"/>
      <c r="J19" s="84"/>
      <c r="K19" s="84"/>
      <c r="L19" s="46"/>
      <c r="M19" s="46"/>
      <c r="N19" s="46"/>
      <c r="O19" s="46"/>
      <c r="P19" s="46"/>
      <c r="Q19" s="46"/>
      <c r="R19" s="46"/>
      <c r="S19" s="46"/>
      <c r="T19" s="46"/>
    </row>
    <row r="20" ht="13.65" customHeight="1">
      <c r="A20" t="s" s="90">
        <v>297</v>
      </c>
      <c r="B20" t="s" s="83">
        <v>34</v>
      </c>
      <c r="C20" s="91">
        <v>5.38</v>
      </c>
      <c r="D20" s="91">
        <v>1.76</v>
      </c>
      <c r="E20" s="91" cm="1">
        <f t="array" ref="E20">E19*(1+C20/100)</f>
        <v>88.9621692745183</v>
      </c>
      <c r="F20" s="91" cm="1">
        <f t="array" ref="F20">F19*(1+D20/100)</f>
        <v>110.798345271076</v>
      </c>
      <c r="G20" t="str" s="92" cm="1">
        <f t="array" ref="G20">IF(C20&gt;D20,"Yes","No")</f>
        <v>Yes</v>
      </c>
      <c r="H20" s="84"/>
      <c r="I20" s="84"/>
      <c r="J20" s="84"/>
      <c r="K20" s="84"/>
      <c r="L20" s="46"/>
      <c r="M20" s="46"/>
      <c r="N20" s="46"/>
      <c r="O20" s="46"/>
      <c r="P20" s="46"/>
      <c r="Q20" s="46"/>
      <c r="R20" s="46"/>
      <c r="S20" s="46"/>
      <c r="T20" s="46"/>
    </row>
    <row r="21" ht="13.65" customHeight="1">
      <c r="A21" t="s" s="90">
        <v>298</v>
      </c>
      <c r="B21" t="s" s="83">
        <v>21</v>
      </c>
      <c r="C21" s="91">
        <v>-3.35</v>
      </c>
      <c r="D21" s="91">
        <v>-2.01</v>
      </c>
      <c r="E21" s="91" cm="1">
        <f t="array" ref="E21">E20*(1+C21/100)</f>
        <v>85.98193660382189</v>
      </c>
      <c r="F21" s="91" cm="1">
        <f t="array" ref="F21">F20*(1+D21/100)</f>
        <v>108.571298531127</v>
      </c>
      <c r="G21" t="str" s="92" cm="1">
        <f t="array" ref="G21">IF(C21&gt;D21,"Yes","No")</f>
        <v>No</v>
      </c>
      <c r="H21" s="84"/>
      <c r="I21" s="84"/>
      <c r="J21" s="84"/>
      <c r="K21" s="84"/>
      <c r="L21" s="46"/>
      <c r="M21" s="46"/>
      <c r="N21" s="46"/>
      <c r="O21" s="46"/>
      <c r="P21" s="46"/>
      <c r="Q21" s="46"/>
      <c r="R21" s="46"/>
      <c r="S21" s="46"/>
      <c r="T21" s="46"/>
    </row>
    <row r="22" ht="13.65" customHeight="1">
      <c r="A22" t="s" s="90">
        <v>299</v>
      </c>
      <c r="B22" t="s" s="83">
        <v>34</v>
      </c>
      <c r="C22" s="91">
        <v>-0.78</v>
      </c>
      <c r="D22" s="91">
        <v>0.58</v>
      </c>
      <c r="E22" s="91" cm="1">
        <f t="array" ref="E22">E21*(1+C22/100)</f>
        <v>85.31127749831209</v>
      </c>
      <c r="F22" s="91" cm="1">
        <f t="array" ref="F22">F21*(1+D22/100)</f>
        <v>109.201012062608</v>
      </c>
      <c r="G22" t="str" s="92" cm="1">
        <f t="array" ref="G22">IF(C22&gt;D22,"Yes","No")</f>
        <v>No</v>
      </c>
      <c r="H22" s="84"/>
      <c r="I22" s="84"/>
      <c r="J22" s="84"/>
      <c r="K22" s="84"/>
      <c r="L22" s="46"/>
      <c r="M22" s="46"/>
      <c r="N22" s="46"/>
      <c r="O22" s="46"/>
      <c r="P22" s="46"/>
      <c r="Q22" s="46"/>
      <c r="R22" s="46"/>
      <c r="S22" s="46"/>
      <c r="T22" s="46"/>
    </row>
    <row r="23" ht="13.65" customHeight="1">
      <c r="A23" t="s" s="90">
        <v>300</v>
      </c>
      <c r="B23" t="s" s="83">
        <v>30</v>
      </c>
      <c r="C23" s="91">
        <v>-4.61</v>
      </c>
      <c r="D23" s="91">
        <v>-3.61</v>
      </c>
      <c r="E23" s="91" cm="1">
        <f t="array" ref="E23">E22*(1+C23/100)</f>
        <v>81.3784276056399</v>
      </c>
      <c r="F23" s="91" cm="1">
        <f t="array" ref="F23">F22*(1+D23/100)</f>
        <v>105.258855527148</v>
      </c>
      <c r="G23" t="str" s="92" cm="1">
        <f t="array" ref="G23">IF(C23&gt;D23,"Yes","No")</f>
        <v>No</v>
      </c>
      <c r="H23" s="84"/>
      <c r="I23" s="84"/>
      <c r="J23" s="84"/>
      <c r="K23" s="84"/>
      <c r="L23" s="46"/>
      <c r="M23" s="46"/>
      <c r="N23" s="46"/>
      <c r="O23" s="46"/>
      <c r="P23" s="46"/>
      <c r="Q23" s="46"/>
      <c r="R23" s="46"/>
      <c r="S23" s="46"/>
      <c r="T23" s="46"/>
    </row>
    <row r="24" ht="13.65" customHeight="1">
      <c r="A24" t="s" s="90">
        <v>301</v>
      </c>
      <c r="B24" t="s" s="83">
        <v>41</v>
      </c>
      <c r="C24" s="91">
        <v>2.72</v>
      </c>
      <c r="D24" s="91">
        <v>-2.58</v>
      </c>
      <c r="E24" s="91" cm="1">
        <f t="array" ref="E24">E23*(1+C24/100)</f>
        <v>83.5919208365133</v>
      </c>
      <c r="F24" s="91" cm="1">
        <f t="array" ref="F24">F23*(1+D24/100)</f>
        <v>102.543177054548</v>
      </c>
      <c r="G24" t="str" s="92" cm="1">
        <f t="array" ref="G24">IF(C24&gt;D24,"Yes","No")</f>
        <v>Yes</v>
      </c>
      <c r="H24" s="84"/>
      <c r="I24" s="84"/>
      <c r="J24" s="84"/>
      <c r="K24" s="84"/>
      <c r="L24" s="46"/>
      <c r="M24" s="46"/>
      <c r="N24" s="46"/>
      <c r="O24" s="46"/>
      <c r="P24" s="46"/>
      <c r="Q24" s="46"/>
      <c r="R24" s="46"/>
      <c r="S24" s="46"/>
      <c r="T24" s="46"/>
    </row>
    <row r="25" ht="13.65" customHeight="1">
      <c r="A25" t="s" s="90">
        <v>302</v>
      </c>
      <c r="B25" t="s" s="83">
        <v>41</v>
      </c>
      <c r="C25" s="91">
        <v>-5.26</v>
      </c>
      <c r="D25" s="91">
        <v>1.53</v>
      </c>
      <c r="E25" s="91" cm="1">
        <f t="array" ref="E25">E24*(1+C25/100)</f>
        <v>79.1949858005127</v>
      </c>
      <c r="F25" s="91" cm="1">
        <f t="array" ref="F25">F24*(1+D25/100)</f>
        <v>104.112087663483</v>
      </c>
      <c r="G25" t="str" s="92" cm="1">
        <f t="array" ref="G25">IF(C25&gt;D25,"Yes","No")</f>
        <v>No</v>
      </c>
      <c r="H25" s="84"/>
      <c r="I25" s="84"/>
      <c r="J25" s="84"/>
      <c r="K25" s="84"/>
      <c r="L25" s="46"/>
      <c r="M25" s="46"/>
      <c r="N25" s="46"/>
      <c r="O25" s="46"/>
      <c r="P25" s="46"/>
      <c r="Q25" s="46"/>
      <c r="R25" s="46"/>
      <c r="S25" s="46"/>
      <c r="T25" s="46"/>
    </row>
    <row r="26" ht="13.65" customHeight="1">
      <c r="A26" t="s" s="90">
        <v>303</v>
      </c>
      <c r="B26" t="s" s="83">
        <v>21</v>
      </c>
      <c r="C26" s="91">
        <v>5.4</v>
      </c>
      <c r="D26" s="91">
        <v>4.07</v>
      </c>
      <c r="E26" s="91" cm="1">
        <f t="array" ref="E26">E25*(1+C26/100)</f>
        <v>83.4715150337404</v>
      </c>
      <c r="F26" s="91" cm="1">
        <f t="array" ref="F26">F25*(1+D26/100)</f>
        <v>108.349449631387</v>
      </c>
      <c r="G26" t="str" s="92" cm="1">
        <f t="array" ref="G26">IF(C26&gt;D26,"Yes","No")</f>
        <v>Yes</v>
      </c>
      <c r="H26" s="84"/>
      <c r="I26" s="84"/>
      <c r="J26" s="84"/>
      <c r="K26" s="84"/>
      <c r="L26" s="46"/>
      <c r="M26" s="46"/>
      <c r="N26" s="46"/>
      <c r="O26" s="46"/>
      <c r="P26" s="46"/>
      <c r="Q26" s="46"/>
      <c r="R26" s="46"/>
      <c r="S26" s="46"/>
      <c r="T26" s="46"/>
    </row>
    <row r="27" ht="13.65" customHeight="1">
      <c r="A27" t="s" s="90">
        <v>304</v>
      </c>
      <c r="B27" t="s" s="83">
        <v>41</v>
      </c>
      <c r="C27" s="91">
        <v>0.18</v>
      </c>
      <c r="D27" s="91">
        <v>1.26</v>
      </c>
      <c r="E27" s="91" cm="1">
        <f t="array" ref="E27">E26*(1+C27/100)</f>
        <v>83.6217637608011</v>
      </c>
      <c r="F27" s="91" cm="1">
        <f t="array" ref="F27">F26*(1+D27/100)</f>
        <v>109.714652696742</v>
      </c>
      <c r="G27" t="str" s="92" cm="1">
        <f t="array" ref="G27">IF(C27&gt;D27,"Yes","No")</f>
        <v>No</v>
      </c>
      <c r="H27" s="84"/>
      <c r="I27" s="84"/>
      <c r="J27" s="84"/>
      <c r="K27" s="84"/>
      <c r="L27" s="46"/>
      <c r="M27" s="46"/>
      <c r="N27" s="46"/>
      <c r="O27" s="46"/>
      <c r="P27" s="46"/>
      <c r="Q27" s="46"/>
      <c r="R27" s="46"/>
      <c r="S27" s="46"/>
      <c r="T27" s="46"/>
    </row>
    <row r="28" ht="13.65" customHeight="1">
      <c r="A28" t="s" s="90">
        <v>305</v>
      </c>
      <c r="B28" t="s" s="83">
        <v>30</v>
      </c>
      <c r="C28" s="91">
        <v>2.62</v>
      </c>
      <c r="D28" s="91">
        <v>-0.42</v>
      </c>
      <c r="E28" s="91" cm="1">
        <f t="array" ref="E28">E27*(1+C28/100)</f>
        <v>85.8126539713341</v>
      </c>
      <c r="F28" s="91" cm="1">
        <f t="array" ref="F28">F27*(1+D28/100)</f>
        <v>109.253851155416</v>
      </c>
      <c r="G28" t="str" s="92" cm="1">
        <f t="array" ref="G28">IF(C28&gt;D28,"Yes","No")</f>
        <v>Yes</v>
      </c>
      <c r="H28" s="84"/>
      <c r="I28" s="84"/>
      <c r="J28" s="84"/>
      <c r="K28" s="84"/>
      <c r="L28" s="46"/>
      <c r="M28" s="46"/>
      <c r="N28" s="46"/>
      <c r="O28" s="46"/>
      <c r="P28" s="46"/>
      <c r="Q28" s="46"/>
      <c r="R28" s="46"/>
      <c r="S28" s="46"/>
      <c r="T28" s="46"/>
    </row>
    <row r="29" ht="13.65" customHeight="1">
      <c r="A29" t="s" s="90">
        <v>306</v>
      </c>
      <c r="B29" t="s" s="83">
        <v>34</v>
      </c>
      <c r="C29" s="91">
        <v>7.63</v>
      </c>
      <c r="D29" s="91">
        <v>2.59</v>
      </c>
      <c r="E29" s="91" cm="1">
        <f t="array" ref="E29">E28*(1+C29/100)</f>
        <v>92.3601594693469</v>
      </c>
      <c r="F29" s="91" cm="1">
        <f t="array" ref="F29">F28*(1+D29/100)</f>
        <v>112.083525900341</v>
      </c>
      <c r="G29" t="str" s="92" cm="1">
        <f t="array" ref="G29">IF(C29&gt;D29,"Yes","No")</f>
        <v>Yes</v>
      </c>
      <c r="H29" s="84"/>
      <c r="I29" s="84"/>
      <c r="J29" s="84"/>
      <c r="K29" s="84"/>
      <c r="L29" s="46"/>
      <c r="M29" s="46"/>
      <c r="N29" s="46"/>
      <c r="O29" s="46"/>
      <c r="P29" s="46"/>
      <c r="Q29" s="46"/>
      <c r="R29" s="46"/>
      <c r="S29" s="46"/>
      <c r="T29" s="46"/>
    </row>
    <row r="30" ht="13.65" customHeight="1">
      <c r="A30" t="s" s="90">
        <v>307</v>
      </c>
      <c r="B30" t="s" s="83">
        <v>21</v>
      </c>
      <c r="C30" s="91">
        <v>-1.03</v>
      </c>
      <c r="D30" s="91">
        <v>0.48</v>
      </c>
      <c r="E30" s="91" cm="1">
        <f t="array" ref="E30">E29*(1+C30/100)</f>
        <v>91.4088498268126</v>
      </c>
      <c r="F30" s="91" cm="1">
        <f t="array" ref="F30">F29*(1+D30/100)</f>
        <v>112.621526824663</v>
      </c>
      <c r="G30" t="str" s="92" cm="1">
        <f t="array" ref="G30">IF(C30&gt;D30,"Yes","No")</f>
        <v>No</v>
      </c>
      <c r="H30" s="84"/>
      <c r="I30" s="84"/>
      <c r="J30" s="84"/>
      <c r="K30" s="84"/>
      <c r="L30" s="46"/>
      <c r="M30" s="46"/>
      <c r="N30" s="46"/>
      <c r="O30" s="46"/>
      <c r="P30" s="46"/>
      <c r="Q30" s="46"/>
      <c r="R30" s="46"/>
      <c r="S30" s="46"/>
      <c r="T30" s="46"/>
    </row>
    <row r="31" ht="13.65" customHeight="1">
      <c r="A31" t="s" s="90">
        <v>308</v>
      </c>
      <c r="B31" t="s" s="83">
        <v>38</v>
      </c>
      <c r="C31" s="91">
        <v>-2.35</v>
      </c>
      <c r="D31" s="91">
        <v>3.67</v>
      </c>
      <c r="E31" s="91" cm="1">
        <f t="array" ref="E31">E30*(1+C31/100)</f>
        <v>89.2607418558825</v>
      </c>
      <c r="F31" s="91" cm="1">
        <f t="array" ref="F31">F30*(1+D31/100)</f>
        <v>116.754736859128</v>
      </c>
      <c r="G31" t="str" s="92" cm="1">
        <f t="array" ref="G31">IF(C31&gt;D31,"Yes","No")</f>
        <v>No</v>
      </c>
      <c r="H31" s="84"/>
      <c r="I31" s="84"/>
      <c r="J31" s="84"/>
      <c r="K31" s="84"/>
      <c r="L31" s="46"/>
      <c r="M31" s="46"/>
      <c r="N31" s="46"/>
      <c r="O31" s="46"/>
      <c r="P31" s="46"/>
      <c r="Q31" s="46"/>
      <c r="R31" s="46"/>
      <c r="S31" s="46"/>
      <c r="T31" s="46"/>
    </row>
    <row r="32" ht="13.65" customHeight="1">
      <c r="A32" t="s" s="90">
        <v>309</v>
      </c>
      <c r="B32" t="s" s="83">
        <v>21</v>
      </c>
      <c r="C32" s="91">
        <v>-4.27</v>
      </c>
      <c r="D32" s="91">
        <v>-0.53</v>
      </c>
      <c r="E32" s="91" cm="1">
        <f t="array" ref="E32">E31*(1+C32/100)</f>
        <v>85.4493081786363</v>
      </c>
      <c r="F32" s="91" cm="1">
        <f t="array" ref="F32">F31*(1+D32/100)</f>
        <v>116.135936753775</v>
      </c>
      <c r="G32" t="str" s="92" cm="1">
        <f t="array" ref="G32">IF(C32&gt;D32,"Yes","No")</f>
        <v>No</v>
      </c>
      <c r="H32" s="84"/>
      <c r="I32" s="84"/>
      <c r="J32" s="84"/>
      <c r="K32" s="84"/>
      <c r="L32" s="46"/>
      <c r="M32" s="46"/>
      <c r="N32" s="46"/>
      <c r="O32" s="46"/>
      <c r="P32" s="46"/>
      <c r="Q32" s="46"/>
      <c r="R32" s="46"/>
      <c r="S32" s="46"/>
      <c r="T32" s="46"/>
    </row>
    <row r="33" ht="13.65" customHeight="1">
      <c r="A33" t="s" s="90">
        <v>310</v>
      </c>
      <c r="B33" t="s" s="83">
        <v>30</v>
      </c>
      <c r="C33" s="91">
        <v>-2.28</v>
      </c>
      <c r="D33" s="91">
        <v>1.14</v>
      </c>
      <c r="E33" s="91" cm="1">
        <f t="array" ref="E33">E32*(1+C33/100)</f>
        <v>83.50106395216341</v>
      </c>
      <c r="F33" s="91" cm="1">
        <f t="array" ref="F33">F32*(1+D33/100)</f>
        <v>117.459886432768</v>
      </c>
      <c r="G33" t="str" s="92" cm="1">
        <f t="array" ref="G33">IF(C33&gt;D33,"Yes","No")</f>
        <v>No</v>
      </c>
      <c r="H33" s="84"/>
      <c r="I33" s="84"/>
      <c r="J33" s="84"/>
      <c r="K33" s="84"/>
      <c r="L33" s="46"/>
      <c r="M33" s="46"/>
      <c r="N33" s="46"/>
      <c r="O33" s="46"/>
      <c r="P33" s="46"/>
      <c r="Q33" s="46"/>
      <c r="R33" s="46"/>
      <c r="S33" s="46"/>
      <c r="T33" s="46"/>
    </row>
    <row r="34" ht="13.65" customHeight="1">
      <c r="A34" t="s" s="90">
        <v>311</v>
      </c>
      <c r="B34" t="s" s="83">
        <v>38</v>
      </c>
      <c r="C34" s="91">
        <v>5.21</v>
      </c>
      <c r="D34" s="91">
        <v>5.16</v>
      </c>
      <c r="E34" s="91" cm="1">
        <f t="array" ref="E34">E33*(1+C34/100)</f>
        <v>87.85146938407109</v>
      </c>
      <c r="F34" s="91" cm="1">
        <f t="array" ref="F34">F33*(1+D34/100)</f>
        <v>123.520816572699</v>
      </c>
      <c r="G34" t="str" s="92" cm="1">
        <f t="array" ref="G34">IF(C34&gt;D34,"Yes","No")</f>
        <v>Yes</v>
      </c>
      <c r="H34" s="84"/>
      <c r="I34" s="84"/>
      <c r="J34" s="84"/>
      <c r="K34" s="84"/>
      <c r="L34" s="46"/>
      <c r="M34" s="46"/>
      <c r="N34" s="46"/>
      <c r="O34" s="46"/>
      <c r="P34" s="46"/>
      <c r="Q34" s="46"/>
      <c r="R34" s="46"/>
      <c r="S34" s="46"/>
      <c r="T34" s="46"/>
    </row>
    <row r="35" ht="13.65" customHeight="1">
      <c r="A35" t="s" s="90">
        <v>312</v>
      </c>
      <c r="B35" t="s" s="83">
        <v>21</v>
      </c>
      <c r="C35" s="91">
        <v>2.06</v>
      </c>
      <c r="D35" s="91">
        <v>0.49</v>
      </c>
      <c r="E35" s="91" cm="1">
        <f t="array" ref="E35">E34*(1+C35/100)</f>
        <v>89.661209653383</v>
      </c>
      <c r="F35" s="91" cm="1">
        <f t="array" ref="F35">F34*(1+D35/100)</f>
        <v>124.126068573905</v>
      </c>
      <c r="G35" t="str" s="92" cm="1">
        <f t="array" ref="G35">IF(C35&gt;D35,"Yes","No")</f>
        <v>Yes</v>
      </c>
      <c r="H35" s="84"/>
      <c r="I35" s="84"/>
      <c r="J35" s="84"/>
      <c r="K35" s="84"/>
      <c r="L35" s="46"/>
      <c r="M35" s="46"/>
      <c r="N35" s="46"/>
      <c r="O35" s="46"/>
      <c r="P35" s="46"/>
      <c r="Q35" s="46"/>
      <c r="R35" s="46"/>
      <c r="S35" s="46"/>
      <c r="T35" s="46"/>
    </row>
    <row r="36" ht="13.65" customHeight="1">
      <c r="A36" t="s" s="90">
        <v>313</v>
      </c>
      <c r="B36" t="s" s="83">
        <v>41</v>
      </c>
      <c r="C36" s="91">
        <v>5.07</v>
      </c>
      <c r="D36" s="91">
        <v>3.91</v>
      </c>
      <c r="E36" s="91" cm="1">
        <f t="array" ref="E36">E35*(1+C36/100)</f>
        <v>94.20703298280949</v>
      </c>
      <c r="F36" s="91" cm="1">
        <f t="array" ref="F36">F35*(1+D36/100)</f>
        <v>128.979397855145</v>
      </c>
      <c r="G36" t="str" s="92" cm="1">
        <f t="array" ref="G36">IF(C36&gt;D36,"Yes","No")</f>
        <v>Yes</v>
      </c>
      <c r="H36" s="84"/>
      <c r="I36" s="84"/>
      <c r="J36" s="84"/>
      <c r="K36" s="84"/>
      <c r="L36" s="46"/>
      <c r="M36" s="46"/>
      <c r="N36" s="46"/>
      <c r="O36" s="46"/>
      <c r="P36" s="46"/>
      <c r="Q36" s="46"/>
      <c r="R36" s="46"/>
      <c r="S36" s="46"/>
      <c r="T36" s="46"/>
    </row>
    <row r="37" ht="13.65" customHeight="1">
      <c r="A37" t="s" s="90">
        <v>314</v>
      </c>
      <c r="B37" t="s" s="83">
        <v>38</v>
      </c>
      <c r="C37" s="91">
        <v>-2.83</v>
      </c>
      <c r="D37" s="91">
        <v>2.49</v>
      </c>
      <c r="E37" s="91" cm="1">
        <f t="array" ref="E37">E36*(1+C37/100)</f>
        <v>91.540973949396</v>
      </c>
      <c r="F37" s="91" cm="1">
        <f t="array" ref="F37">F36*(1+D37/100)</f>
        <v>132.190984861738</v>
      </c>
      <c r="G37" t="str" s="92" cm="1">
        <f t="array" ref="G37">IF(C37&gt;D37,"Yes","No")</f>
        <v>No</v>
      </c>
      <c r="H37" s="84"/>
      <c r="I37" s="84"/>
      <c r="J37" s="84"/>
      <c r="K37" s="84"/>
      <c r="L37" s="46"/>
      <c r="M37" s="46"/>
      <c r="N37" s="46"/>
      <c r="O37" s="46"/>
      <c r="P37" s="46"/>
      <c r="Q37" s="46"/>
      <c r="R37" s="46"/>
      <c r="S37" s="46"/>
      <c r="T37" s="46"/>
    </row>
    <row r="38" ht="13.65" customHeight="1">
      <c r="A38" t="s" s="90">
        <v>315</v>
      </c>
      <c r="B38" t="s" s="83">
        <v>41</v>
      </c>
      <c r="C38" s="91">
        <v>-1.75</v>
      </c>
      <c r="D38" s="91">
        <v>-3.73</v>
      </c>
      <c r="E38" s="91" cm="1">
        <f t="array" ref="E38">E37*(1+C38/100)</f>
        <v>89.9390069052816</v>
      </c>
      <c r="F38" s="91" cm="1">
        <f t="array" ref="F38">F37*(1+D38/100)</f>
        <v>127.260261126395</v>
      </c>
      <c r="G38" t="str" s="92" cm="1">
        <f t="array" ref="G38">IF(C38&gt;D38,"Yes","No")</f>
        <v>Yes</v>
      </c>
      <c r="H38" s="84"/>
      <c r="I38" s="84"/>
      <c r="J38" s="84"/>
      <c r="K38" s="84"/>
      <c r="L38" s="46"/>
      <c r="M38" s="46"/>
      <c r="N38" s="46"/>
      <c r="O38" s="46"/>
      <c r="P38" s="46"/>
      <c r="Q38" s="46"/>
      <c r="R38" s="46"/>
      <c r="S38" s="46"/>
      <c r="T38" s="46"/>
    </row>
    <row r="39" ht="13.65" customHeight="1">
      <c r="A39" t="s" s="90">
        <v>316</v>
      </c>
      <c r="B39" t="s" s="83">
        <v>30</v>
      </c>
      <c r="C39" s="91">
        <v>0.78</v>
      </c>
      <c r="D39" s="91">
        <v>-2.37</v>
      </c>
      <c r="E39" s="91" cm="1">
        <f t="array" ref="E39">E38*(1+C39/100)</f>
        <v>90.6405311591428</v>
      </c>
      <c r="F39" s="91" cm="1">
        <f t="array" ref="F39">F38*(1+D39/100)</f>
        <v>124.244192937699</v>
      </c>
      <c r="G39" t="str" s="92" cm="1">
        <f t="array" ref="G39">IF(C39&gt;D39,"Yes","No")</f>
        <v>Yes</v>
      </c>
      <c r="H39" s="84"/>
      <c r="I39" s="84"/>
      <c r="J39" s="84"/>
      <c r="K39" s="84"/>
      <c r="L39" s="46"/>
      <c r="M39" s="46"/>
      <c r="N39" s="46"/>
      <c r="O39" s="46"/>
      <c r="P39" s="46"/>
      <c r="Q39" s="46"/>
      <c r="R39" s="46"/>
      <c r="S39" s="46"/>
      <c r="T39" s="46"/>
    </row>
    <row r="40" ht="13.65" customHeight="1">
      <c r="A40" t="s" s="90">
        <v>317</v>
      </c>
      <c r="B40" t="s" s="83">
        <v>30</v>
      </c>
      <c r="C40" s="91">
        <v>12.35</v>
      </c>
      <c r="D40" s="91">
        <v>8.199999999999999</v>
      </c>
      <c r="E40" s="91" cm="1">
        <f t="array" ref="E40">E39*(1+C40/100)</f>
        <v>101.834636757297</v>
      </c>
      <c r="F40" s="91" cm="1">
        <f t="array" ref="F40">F39*(1+D40/100)</f>
        <v>134.432216758590</v>
      </c>
      <c r="G40" t="str" s="92" cm="1">
        <f t="array" ref="G40">IF(C40&gt;D40,"Yes","No")</f>
        <v>Yes</v>
      </c>
      <c r="H40" s="84"/>
      <c r="I40" s="84"/>
      <c r="J40" s="84"/>
      <c r="K40" s="84"/>
      <c r="L40" s="46"/>
      <c r="M40" s="46"/>
      <c r="N40" s="46"/>
      <c r="O40" s="46"/>
      <c r="P40" s="46"/>
      <c r="Q40" s="46"/>
      <c r="R40" s="46"/>
      <c r="S40" s="46"/>
      <c r="T40" s="46"/>
    </row>
    <row r="41" ht="13.65" customHeight="1">
      <c r="A41" t="s" s="90">
        <v>318</v>
      </c>
      <c r="B41" t="s" s="83">
        <v>30</v>
      </c>
      <c r="C41" s="91">
        <v>3.99</v>
      </c>
      <c r="D41" s="91">
        <v>-0.5</v>
      </c>
      <c r="E41" s="91" cm="1">
        <f t="array" ref="E41">E40*(1+C41/100)</f>
        <v>105.897838763913</v>
      </c>
      <c r="F41" s="91" cm="1">
        <f t="array" ref="F41">F40*(1+D41/100)</f>
        <v>133.760055674797</v>
      </c>
      <c r="G41" t="str" s="92" cm="1">
        <f t="array" ref="G41">IF(C41&gt;D41,"Yes","No")</f>
        <v>Yes</v>
      </c>
      <c r="H41" s="84"/>
      <c r="I41" s="84"/>
      <c r="J41" s="84"/>
      <c r="K41" s="84"/>
      <c r="L41" s="46"/>
      <c r="M41" s="46"/>
      <c r="N41" s="46"/>
      <c r="O41" s="46"/>
      <c r="P41" s="46"/>
      <c r="Q41" s="46"/>
      <c r="R41" s="46"/>
      <c r="S41" s="46"/>
      <c r="T41" s="46"/>
    </row>
    <row r="42" ht="13.65" customHeight="1">
      <c r="A42" t="s" s="90">
        <v>319</v>
      </c>
      <c r="B42" t="s" s="83">
        <v>21</v>
      </c>
      <c r="C42" s="91">
        <v>-2.85</v>
      </c>
      <c r="D42" s="91">
        <v>2.58</v>
      </c>
      <c r="E42" s="91" cm="1">
        <f t="array" ref="E42">E41*(1+C42/100)</f>
        <v>102.879750359141</v>
      </c>
      <c r="F42" s="91" cm="1">
        <f t="array" ref="F42">F41*(1+D42/100)</f>
        <v>137.211065111207</v>
      </c>
      <c r="G42" t="str" s="92" cm="1">
        <f t="array" ref="G42">IF(C42&gt;D42,"Yes","No")</f>
        <v>No</v>
      </c>
      <c r="H42" s="84"/>
      <c r="I42" s="84"/>
      <c r="J42" s="84"/>
      <c r="K42" s="84"/>
      <c r="L42" s="46"/>
      <c r="M42" s="46"/>
      <c r="N42" s="46"/>
      <c r="O42" s="46"/>
      <c r="P42" s="46"/>
      <c r="Q42" s="46"/>
      <c r="R42" s="46"/>
      <c r="S42" s="46"/>
      <c r="T42" s="46"/>
    </row>
    <row r="43" ht="13.65" customHeight="1">
      <c r="A43" t="s" s="90">
        <v>320</v>
      </c>
      <c r="B43" t="s" s="83">
        <v>38</v>
      </c>
      <c r="C43" s="91">
        <v>0.65</v>
      </c>
      <c r="D43" s="91">
        <v>4.32</v>
      </c>
      <c r="E43" s="91" cm="1">
        <f t="array" ref="E43">E42*(1+C43/100)</f>
        <v>103.548468736475</v>
      </c>
      <c r="F43" s="91" cm="1">
        <f t="array" ref="F43">F42*(1+D43/100)</f>
        <v>143.138583124011</v>
      </c>
      <c r="G43" t="str" s="92" cm="1">
        <f t="array" ref="G43">IF(C43&gt;D43,"Yes","No")</f>
        <v>No</v>
      </c>
      <c r="H43" s="84"/>
      <c r="I43" s="84"/>
      <c r="J43" s="84"/>
      <c r="K43" s="84"/>
      <c r="L43" s="46"/>
      <c r="M43" s="46"/>
      <c r="N43" s="46"/>
      <c r="O43" s="46"/>
      <c r="P43" s="46"/>
      <c r="Q43" s="46"/>
      <c r="R43" s="46"/>
      <c r="S43" s="46"/>
      <c r="T43" s="46"/>
    </row>
    <row r="44" ht="13.65" customHeight="1">
      <c r="A44" t="s" s="90">
        <v>321</v>
      </c>
      <c r="B44" t="s" s="83">
        <v>30</v>
      </c>
      <c r="C44" s="91">
        <v>7.46</v>
      </c>
      <c r="D44" s="91">
        <v>6.98</v>
      </c>
      <c r="E44" s="91" cm="1">
        <f t="array" ref="E44">E43*(1+C44/100)</f>
        <v>111.273184504216</v>
      </c>
      <c r="F44" s="91" cm="1">
        <f t="array" ref="F44">F43*(1+D44/100)</f>
        <v>153.129656226067</v>
      </c>
      <c r="G44" t="str" s="92" cm="1">
        <f t="array" ref="G44">IF(C44&gt;D44,"Yes","No")</f>
        <v>Yes</v>
      </c>
      <c r="H44" s="84"/>
      <c r="I44" s="84"/>
      <c r="J44" s="84"/>
      <c r="K44" s="84"/>
      <c r="L44" s="46"/>
      <c r="M44" s="46"/>
      <c r="N44" s="46"/>
      <c r="O44" s="46"/>
      <c r="P44" s="46"/>
      <c r="Q44" s="46"/>
      <c r="R44" s="46"/>
      <c r="S44" s="46"/>
      <c r="T44" s="46"/>
    </row>
    <row r="45" ht="13.65" customHeight="1">
      <c r="A45" t="s" s="90">
        <v>322</v>
      </c>
      <c r="B45" t="s" s="83">
        <v>38</v>
      </c>
      <c r="C45" s="91">
        <v>-1.24</v>
      </c>
      <c r="D45" s="91">
        <v>-5.92</v>
      </c>
      <c r="E45" s="91" cm="1">
        <f t="array" ref="E45">E44*(1+C45/100)</f>
        <v>109.893397016364</v>
      </c>
      <c r="F45" s="91" cm="1">
        <f t="array" ref="F45">F44*(1+D45/100)</f>
        <v>144.064380577484</v>
      </c>
      <c r="G45" t="str" s="92" cm="1">
        <f t="array" ref="G45">IF(C45&gt;D45,"Yes","No")</f>
        <v>Yes</v>
      </c>
      <c r="H45" s="84"/>
      <c r="I45" s="84"/>
      <c r="J45" s="84"/>
      <c r="K45" s="84"/>
      <c r="L45" s="46"/>
      <c r="M45" s="46"/>
      <c r="N45" s="46"/>
      <c r="O45" s="46"/>
      <c r="P45" s="46"/>
      <c r="Q45" s="46"/>
      <c r="R45" s="46"/>
      <c r="S45" s="46"/>
      <c r="T45" s="46"/>
    </row>
    <row r="46" ht="13.65" customHeight="1">
      <c r="A46" t="s" s="90">
        <v>323</v>
      </c>
      <c r="B46" t="s" s="83">
        <v>41</v>
      </c>
      <c r="C46" s="91">
        <v>-3.25</v>
      </c>
      <c r="D46" s="91">
        <v>-2.21</v>
      </c>
      <c r="E46" s="91" cm="1">
        <f t="array" ref="E46">E45*(1+C46/100)</f>
        <v>106.321861613332</v>
      </c>
      <c r="F46" s="91" cm="1">
        <f t="array" ref="F46">F45*(1+D46/100)</f>
        <v>140.880557766722</v>
      </c>
      <c r="G46" t="str" s="92" cm="1">
        <f t="array" ref="G46">IF(C46&gt;D46,"Yes","No")</f>
        <v>No</v>
      </c>
      <c r="H46" s="84"/>
      <c r="I46" s="84"/>
      <c r="J46" s="84"/>
      <c r="K46" s="84"/>
      <c r="L46" s="46"/>
      <c r="M46" s="46"/>
      <c r="N46" s="46"/>
      <c r="O46" s="46"/>
      <c r="P46" s="46"/>
      <c r="Q46" s="46"/>
      <c r="R46" s="46"/>
      <c r="S46" s="46"/>
      <c r="T46" s="46"/>
    </row>
    <row r="47" ht="13.65" customHeight="1">
      <c r="A47" t="s" s="90">
        <v>324</v>
      </c>
      <c r="B47" t="s" s="83">
        <v>21</v>
      </c>
      <c r="C47" s="91">
        <v>6.08</v>
      </c>
      <c r="D47" s="91">
        <v>2.9</v>
      </c>
      <c r="E47" s="91" cm="1">
        <f t="array" ref="E47">E46*(1+C47/100)</f>
        <v>112.786230799423</v>
      </c>
      <c r="F47" s="91" cm="1">
        <f t="array" ref="F47">F46*(1+D47/100)</f>
        <v>144.966093941957</v>
      </c>
      <c r="G47" t="str" s="92" cm="1">
        <f t="array" ref="G47">IF(C47&gt;D47,"Yes","No")</f>
        <v>Yes</v>
      </c>
      <c r="H47" s="84"/>
      <c r="I47" s="84"/>
      <c r="J47" s="84"/>
      <c r="K47" s="84"/>
      <c r="L47" s="46"/>
      <c r="M47" s="46"/>
      <c r="N47" s="46"/>
      <c r="O47" s="46"/>
      <c r="P47" s="46"/>
      <c r="Q47" s="46"/>
      <c r="R47" s="46"/>
      <c r="S47" s="46"/>
      <c r="T47" s="46"/>
    </row>
    <row r="48" ht="13.65" customHeight="1">
      <c r="A48" t="s" s="90">
        <v>325</v>
      </c>
      <c r="B48" t="s" s="83">
        <v>34</v>
      </c>
      <c r="C48" s="91">
        <v>-0.15</v>
      </c>
      <c r="D48" s="91">
        <v>-0.46</v>
      </c>
      <c r="E48" s="91" cm="1">
        <f t="array" ref="E48">E47*(1+C48/100)</f>
        <v>112.617051453224</v>
      </c>
      <c r="F48" s="91" cm="1">
        <f t="array" ref="F48">F47*(1+D48/100)</f>
        <v>144.299249909824</v>
      </c>
      <c r="G48" t="str" s="92" cm="1">
        <f t="array" ref="G48">IF(C48&gt;D48,"Yes","No")</f>
        <v>Yes</v>
      </c>
      <c r="H48" s="84"/>
      <c r="I48" s="84"/>
      <c r="J48" s="84"/>
      <c r="K48" s="84"/>
      <c r="L48" s="46"/>
      <c r="M48" s="46"/>
      <c r="N48" s="46"/>
      <c r="O48" s="46"/>
      <c r="P48" s="46"/>
      <c r="Q48" s="46"/>
      <c r="R48" s="46"/>
      <c r="S48" s="46"/>
      <c r="T48" s="46"/>
    </row>
    <row r="49" ht="13.65" customHeight="1">
      <c r="A49" t="s" s="90">
        <v>326</v>
      </c>
      <c r="B49" t="s" s="83">
        <v>30</v>
      </c>
      <c r="C49" s="91">
        <v>1.12</v>
      </c>
      <c r="D49" s="91">
        <v>0.05</v>
      </c>
      <c r="E49" s="91" cm="1">
        <f t="array" ref="E49">E48*(1+C49/100)</f>
        <v>113.8783624295</v>
      </c>
      <c r="F49" s="91" cm="1">
        <f t="array" ref="F49">F48*(1+D49/100)</f>
        <v>144.371399534779</v>
      </c>
      <c r="G49" t="str" s="92" cm="1">
        <f t="array" ref="G49">IF(C49&gt;D49,"Yes","No")</f>
        <v>Yes</v>
      </c>
      <c r="H49" s="84"/>
      <c r="I49" s="84"/>
      <c r="J49" s="84"/>
      <c r="K49" s="84"/>
      <c r="L49" s="46"/>
      <c r="M49" s="46"/>
      <c r="N49" s="46"/>
      <c r="O49" s="46"/>
      <c r="P49" s="46"/>
      <c r="Q49" s="46"/>
      <c r="R49" s="46"/>
      <c r="S49" s="46"/>
      <c r="T49" s="46"/>
    </row>
    <row r="50" ht="13.65" customHeight="1">
      <c r="A50" t="s" s="90">
        <v>327</v>
      </c>
      <c r="B50" t="s" s="83">
        <v>41</v>
      </c>
      <c r="C50" s="91">
        <v>2.93</v>
      </c>
      <c r="D50" s="91">
        <v>0.21</v>
      </c>
      <c r="E50" s="91" cm="1">
        <f t="array" ref="E50">E49*(1+C50/100)</f>
        <v>117.214998448684</v>
      </c>
      <c r="F50" s="91" cm="1">
        <f t="array" ref="F50">F49*(1+D50/100)</f>
        <v>144.674579473802</v>
      </c>
      <c r="G50" t="str" s="92" cm="1">
        <f t="array" ref="G50">IF(C50&gt;D50,"Yes","No")</f>
        <v>Yes</v>
      </c>
      <c r="H50" s="84"/>
      <c r="I50" s="84"/>
      <c r="J50" s="84"/>
      <c r="K50" s="84"/>
      <c r="L50" s="46"/>
      <c r="M50" s="46"/>
      <c r="N50" s="46"/>
      <c r="O50" s="46"/>
      <c r="P50" s="46"/>
      <c r="Q50" s="46"/>
      <c r="R50" s="46"/>
      <c r="S50" s="46"/>
      <c r="T50" s="46"/>
    </row>
    <row r="51" ht="13.65" customHeight="1">
      <c r="A51" t="s" s="90">
        <v>328</v>
      </c>
      <c r="B51" t="s" s="83">
        <v>34</v>
      </c>
      <c r="C51" s="91">
        <v>0.26</v>
      </c>
      <c r="D51" s="91">
        <v>2.38</v>
      </c>
      <c r="E51" s="91" cm="1">
        <f t="array" ref="E51">E50*(1+C51/100)</f>
        <v>117.519757444651</v>
      </c>
      <c r="F51" s="91" cm="1">
        <f t="array" ref="F51">F50*(1+D51/100)</f>
        <v>148.117834465278</v>
      </c>
      <c r="G51" t="str" s="92" cm="1">
        <f t="array" ref="G51">IF(C51&gt;D51,"Yes","No")</f>
        <v>No</v>
      </c>
      <c r="H51" s="84"/>
      <c r="I51" s="84"/>
      <c r="J51" s="84"/>
      <c r="K51" s="84"/>
      <c r="L51" s="46"/>
      <c r="M51" s="46"/>
      <c r="N51" s="46"/>
      <c r="O51" s="46"/>
      <c r="P51" s="46"/>
      <c r="Q51" s="46"/>
      <c r="R51" s="46"/>
      <c r="S51" s="46"/>
      <c r="T51" s="46"/>
    </row>
    <row r="52" ht="13.65" customHeight="1">
      <c r="A52" t="s" s="90">
        <v>329</v>
      </c>
      <c r="B52" t="s" s="83">
        <v>21</v>
      </c>
      <c r="C52" s="91">
        <v>0.28</v>
      </c>
      <c r="D52" s="91">
        <v>3.2</v>
      </c>
      <c r="E52" s="91" cm="1">
        <f t="array" ref="E52">E51*(1+C52/100)</f>
        <v>117.848812765496</v>
      </c>
      <c r="F52" s="91" cm="1">
        <f t="array" ref="F52">F51*(1+D52/100)</f>
        <v>152.857605168167</v>
      </c>
      <c r="G52" t="str" s="92" cm="1">
        <f t="array" ref="G52">IF(C52&gt;D52,"Yes","No")</f>
        <v>No</v>
      </c>
      <c r="H52" s="84"/>
      <c r="I52" s="84"/>
      <c r="J52" s="84"/>
      <c r="K52" s="84"/>
      <c r="L52" s="46"/>
      <c r="M52" s="46"/>
      <c r="N52" s="46"/>
      <c r="O52" s="46"/>
      <c r="P52" s="46"/>
      <c r="Q52" s="46"/>
      <c r="R52" s="46"/>
      <c r="S52" s="46"/>
      <c r="T52" s="46"/>
    </row>
    <row r="53" ht="13.65" customHeight="1">
      <c r="A53" t="s" s="90">
        <v>330</v>
      </c>
      <c r="B53" t="s" s="83">
        <v>41</v>
      </c>
      <c r="C53" s="91">
        <v>-5.02</v>
      </c>
      <c r="D53" s="91">
        <v>-0.83</v>
      </c>
      <c r="E53" s="91" cm="1">
        <f t="array" ref="E53">E52*(1+C53/100)</f>
        <v>111.932802364668</v>
      </c>
      <c r="F53" s="91" cm="1">
        <f t="array" ref="F53">F52*(1+D53/100)</f>
        <v>151.588887045271</v>
      </c>
      <c r="G53" t="str" s="92" cm="1">
        <f t="array" ref="G53">IF(C53&gt;D53,"Yes","No")</f>
        <v>No</v>
      </c>
      <c r="H53" s="84"/>
      <c r="I53" s="84"/>
      <c r="J53" s="84"/>
      <c r="K53" s="84"/>
      <c r="L53" s="46"/>
      <c r="M53" s="46"/>
      <c r="N53" s="46"/>
      <c r="O53" s="46"/>
      <c r="P53" s="46"/>
      <c r="Q53" s="46"/>
      <c r="R53" s="46"/>
      <c r="S53" s="46"/>
      <c r="T53" s="46"/>
    </row>
    <row r="54" ht="13.65" customHeight="1">
      <c r="A54" t="s" s="90">
        <v>331</v>
      </c>
      <c r="B54" t="s" s="83">
        <v>21</v>
      </c>
      <c r="C54" s="91">
        <v>0.86</v>
      </c>
      <c r="D54" s="91">
        <v>-1.09</v>
      </c>
      <c r="E54" s="91" cm="1">
        <f t="array" ref="E54">E53*(1+C54/100)</f>
        <v>112.895424465004</v>
      </c>
      <c r="F54" s="91" cm="1">
        <f t="array" ref="F54">F53*(1+D54/100)</f>
        <v>149.936568176478</v>
      </c>
      <c r="G54" t="str" s="92" cm="1">
        <f t="array" ref="G54">IF(C54&gt;D54,"Yes","No")</f>
        <v>Yes</v>
      </c>
      <c r="H54" s="84"/>
      <c r="I54" s="84"/>
      <c r="J54" s="84"/>
      <c r="K54" s="84"/>
      <c r="L54" s="46"/>
      <c r="M54" s="46"/>
      <c r="N54" s="46"/>
      <c r="O54" s="46"/>
      <c r="P54" s="46"/>
      <c r="Q54" s="46"/>
      <c r="R54" s="46"/>
      <c r="S54" s="46"/>
      <c r="T54" s="46"/>
    </row>
    <row r="55" ht="13.65" customHeight="1">
      <c r="A55" t="s" s="90">
        <v>332</v>
      </c>
      <c r="B55" t="s" s="83">
        <v>21</v>
      </c>
      <c r="C55" s="91">
        <v>-6.51</v>
      </c>
      <c r="D55" s="91">
        <v>-4.01</v>
      </c>
      <c r="E55" s="91" cm="1">
        <f t="array" ref="E55">E54*(1+C55/100)</f>
        <v>105.545932332332</v>
      </c>
      <c r="F55" s="91" cm="1">
        <f t="array" ref="F55">F54*(1+D55/100)</f>
        <v>143.924111792601</v>
      </c>
      <c r="G55" t="str" s="92" cm="1">
        <f t="array" ref="G55">IF(C55&gt;D55,"Yes","No")</f>
        <v>No</v>
      </c>
      <c r="H55" s="84"/>
      <c r="I55" s="84"/>
      <c r="J55" s="84"/>
      <c r="K55" s="84"/>
      <c r="L55" s="46"/>
      <c r="M55" s="46"/>
      <c r="N55" s="46"/>
      <c r="O55" s="46"/>
      <c r="P55" s="46"/>
      <c r="Q55" s="46"/>
      <c r="R55" s="46"/>
      <c r="S55" s="46"/>
      <c r="T55" s="46"/>
    </row>
    <row r="56" ht="13.65" customHeight="1">
      <c r="A56" t="s" s="90">
        <v>333</v>
      </c>
      <c r="B56" t="s" s="83">
        <v>38</v>
      </c>
      <c r="C56" s="91">
        <v>-1.15</v>
      </c>
      <c r="D56" s="91">
        <v>1.27</v>
      </c>
      <c r="E56" s="91" cm="1">
        <f t="array" ref="E56">E55*(1+C56/100)</f>
        <v>104.332154110510</v>
      </c>
      <c r="F56" s="91" cm="1">
        <f t="array" ref="F56">F55*(1+D56/100)</f>
        <v>145.751948012367</v>
      </c>
      <c r="G56" t="str" s="92" cm="1">
        <f t="array" ref="G56">IF(C56&gt;D56,"Yes","No")</f>
        <v>No</v>
      </c>
      <c r="H56" s="84"/>
      <c r="I56" s="84"/>
      <c r="J56" s="84"/>
      <c r="K56" s="84"/>
      <c r="L56" s="46"/>
      <c r="M56" s="46"/>
      <c r="N56" s="46"/>
      <c r="O56" s="46"/>
      <c r="P56" s="46"/>
      <c r="Q56" s="46"/>
      <c r="R56" s="46"/>
      <c r="S56" s="46"/>
      <c r="T56" s="46"/>
    </row>
    <row r="57" ht="13.65" customHeight="1">
      <c r="A57" t="s" s="90">
        <v>334</v>
      </c>
      <c r="B57" t="s" s="83">
        <v>34</v>
      </c>
      <c r="C57" s="91">
        <v>6.78</v>
      </c>
      <c r="D57" s="91">
        <v>2.54</v>
      </c>
      <c r="E57" s="91" cm="1">
        <f t="array" ref="E57">E56*(1+C57/100)</f>
        <v>111.405874159203</v>
      </c>
      <c r="F57" s="91" cm="1">
        <f t="array" ref="F57">F56*(1+D57/100)</f>
        <v>149.454047491881</v>
      </c>
      <c r="G57" t="str" s="92" cm="1">
        <f t="array" ref="G57">IF(C57&gt;D57,"Yes","No")</f>
        <v>Yes</v>
      </c>
      <c r="H57" s="84"/>
      <c r="I57" s="84"/>
      <c r="J57" s="84"/>
      <c r="K57" s="84"/>
      <c r="L57" s="46"/>
      <c r="M57" s="46"/>
      <c r="N57" s="46"/>
      <c r="O57" s="46"/>
      <c r="P57" s="46"/>
      <c r="Q57" s="46"/>
      <c r="R57" s="46"/>
      <c r="S57" s="46"/>
      <c r="T57" s="46"/>
    </row>
    <row r="58" ht="13.65" customHeight="1">
      <c r="A58" t="s" s="90">
        <v>335</v>
      </c>
      <c r="B58" t="s" s="83">
        <v>30</v>
      </c>
      <c r="C58" s="91">
        <v>6.29</v>
      </c>
      <c r="D58" s="91">
        <v>6.67</v>
      </c>
      <c r="E58" s="91" cm="1">
        <f t="array" ref="E58">E57*(1+C58/100)</f>
        <v>118.413303643817</v>
      </c>
      <c r="F58" s="91" cm="1">
        <f t="array" ref="F58">F57*(1+D58/100)</f>
        <v>159.422632459589</v>
      </c>
      <c r="G58" t="str" s="92" cm="1">
        <f t="array" ref="G58">IF(C58&gt;D58,"Yes","No")</f>
        <v>No</v>
      </c>
      <c r="H58" s="84"/>
      <c r="I58" s="84"/>
      <c r="J58" s="84"/>
      <c r="K58" s="84"/>
      <c r="L58" s="46"/>
      <c r="M58" s="46"/>
      <c r="N58" s="46"/>
      <c r="O58" s="46"/>
      <c r="P58" s="46"/>
      <c r="Q58" s="46"/>
      <c r="R58" s="46"/>
      <c r="S58" s="46"/>
      <c r="T58" s="46"/>
    </row>
    <row r="59" ht="13.65" customHeight="1">
      <c r="A59" t="s" s="90">
        <v>336</v>
      </c>
      <c r="B59" t="s" s="83">
        <v>34</v>
      </c>
      <c r="C59" s="91">
        <v>-5.52</v>
      </c>
      <c r="D59" s="91">
        <v>-0.77</v>
      </c>
      <c r="E59" s="91" cm="1">
        <f t="array" ref="E59">E58*(1+C59/100)</f>
        <v>111.876889282678</v>
      </c>
      <c r="F59" s="91" cm="1">
        <f t="array" ref="F59">F58*(1+D59/100)</f>
        <v>158.195078189650</v>
      </c>
      <c r="G59" t="str" s="92" cm="1">
        <f t="array" ref="G59">IF(C59&gt;D59,"Yes","No")</f>
        <v>No</v>
      </c>
      <c r="H59" s="84"/>
      <c r="I59" s="84"/>
      <c r="J59" s="84"/>
      <c r="K59" s="84"/>
      <c r="L59" s="46"/>
      <c r="M59" s="46"/>
      <c r="N59" s="46"/>
      <c r="O59" s="46"/>
      <c r="P59" s="46"/>
      <c r="Q59" s="46"/>
      <c r="R59" s="46"/>
      <c r="S59" s="46"/>
      <c r="T59" s="46"/>
    </row>
    <row r="60" ht="13.65" customHeight="1">
      <c r="A60" t="s" s="90">
        <v>337</v>
      </c>
      <c r="B60" t="s" s="83">
        <v>21</v>
      </c>
      <c r="C60" s="91">
        <v>1.86</v>
      </c>
      <c r="D60" s="91">
        <v>0.57</v>
      </c>
      <c r="E60" s="91" cm="1">
        <f t="array" ref="E60">E59*(1+C60/100)</f>
        <v>113.957799423336</v>
      </c>
      <c r="F60" s="91" cm="1">
        <f t="array" ref="F60">F59*(1+D60/100)</f>
        <v>159.096790135331</v>
      </c>
      <c r="G60" t="str" s="92" cm="1">
        <f t="array" ref="G60">IF(C60&gt;D60,"Yes","No")</f>
        <v>Yes</v>
      </c>
      <c r="H60" s="84"/>
      <c r="I60" s="84"/>
      <c r="J60" s="84"/>
      <c r="K60" s="84"/>
      <c r="L60" s="46"/>
      <c r="M60" s="46"/>
      <c r="N60" s="46"/>
      <c r="O60" s="46"/>
      <c r="P60" s="46"/>
      <c r="Q60" s="46"/>
      <c r="R60" s="46"/>
      <c r="S60" s="46"/>
      <c r="T60" s="46"/>
    </row>
    <row r="61" ht="13.65" customHeight="1">
      <c r="A61" t="s" s="90">
        <v>338</v>
      </c>
      <c r="B61" t="s" s="83">
        <v>41</v>
      </c>
      <c r="C61" s="91">
        <v>1.65</v>
      </c>
      <c r="D61" s="91">
        <v>0.48</v>
      </c>
      <c r="E61" s="91" cm="1">
        <f t="array" ref="E61">E60*(1+C61/100)</f>
        <v>115.838103113821</v>
      </c>
      <c r="F61" s="91" cm="1">
        <f t="array" ref="F61">F60*(1+D61/100)</f>
        <v>159.860454727981</v>
      </c>
      <c r="G61" t="str" s="92" cm="1">
        <f t="array" ref="G61">IF(C61&gt;D61,"Yes","No")</f>
        <v>Yes</v>
      </c>
      <c r="H61" s="84"/>
      <c r="I61" s="84"/>
      <c r="J61" s="84"/>
      <c r="K61" s="84"/>
      <c r="L61" s="46"/>
      <c r="M61" s="46"/>
      <c r="N61" s="46"/>
      <c r="O61" s="46"/>
      <c r="P61" s="46"/>
      <c r="Q61" s="46"/>
      <c r="R61" s="46"/>
      <c r="S61" s="46"/>
      <c r="T61" s="46"/>
    </row>
    <row r="62" ht="13.65" customHeight="1">
      <c r="A62" t="s" s="90">
        <v>339</v>
      </c>
      <c r="B62" t="s" s="83">
        <v>30</v>
      </c>
      <c r="C62" s="91">
        <v>-2.75</v>
      </c>
      <c r="D62" s="91">
        <v>-6.86</v>
      </c>
      <c r="E62" s="91" cm="1">
        <f t="array" ref="E62">E61*(1+C62/100)</f>
        <v>112.652555278191</v>
      </c>
      <c r="F62" s="91" cm="1">
        <f t="array" ref="F62">F61*(1+D62/100)</f>
        <v>148.894027533642</v>
      </c>
      <c r="G62" t="str" s="92" cm="1">
        <f t="array" ref="G62">IF(C62&gt;D62,"Yes","No")</f>
        <v>Yes</v>
      </c>
      <c r="H62" s="84"/>
      <c r="I62" s="84"/>
      <c r="J62" s="84"/>
      <c r="K62" s="84"/>
      <c r="L62" s="46"/>
      <c r="M62" s="46"/>
      <c r="N62" s="46"/>
      <c r="O62" s="46"/>
      <c r="P62" s="46"/>
      <c r="Q62" s="46"/>
      <c r="R62" s="46"/>
      <c r="S62" s="46"/>
      <c r="T62" s="46"/>
    </row>
    <row r="63" ht="13.65" customHeight="1">
      <c r="A63" t="s" s="90">
        <v>340</v>
      </c>
      <c r="B63" t="s" s="83">
        <v>30</v>
      </c>
      <c r="C63" s="91">
        <v>-4.28</v>
      </c>
      <c r="D63" s="91">
        <v>-15.9</v>
      </c>
      <c r="E63" s="91" cm="1">
        <f t="array" ref="E63">E62*(1+C63/100)</f>
        <v>107.831025912284</v>
      </c>
      <c r="F63" s="91" cm="1">
        <f t="array" ref="F63">F62*(1+D63/100)</f>
        <v>125.219877155793</v>
      </c>
      <c r="G63" t="str" s="92" cm="1">
        <f t="array" ref="G63">IF(C63&gt;D63,"Yes","No")</f>
        <v>Yes</v>
      </c>
      <c r="H63" s="84"/>
      <c r="I63" s="84"/>
      <c r="J63" s="84"/>
      <c r="K63" s="84"/>
      <c r="L63" s="46"/>
      <c r="M63" s="46"/>
      <c r="N63" s="46"/>
      <c r="O63" s="46"/>
      <c r="P63" s="46"/>
      <c r="Q63" s="46"/>
      <c r="R63" s="46"/>
      <c r="S63" s="46"/>
      <c r="T63" s="46"/>
    </row>
    <row r="64" ht="13.65" customHeight="1">
      <c r="A64" t="s" s="90">
        <v>341</v>
      </c>
      <c r="B64" t="s" s="83">
        <v>38</v>
      </c>
      <c r="C64" s="91">
        <v>31.51</v>
      </c>
      <c r="D64" s="91">
        <v>16.94</v>
      </c>
      <c r="E64" s="91" cm="1">
        <f t="array" ref="E64">E63*(1+C64/100)</f>
        <v>141.808582177245</v>
      </c>
      <c r="F64" s="91" cm="1">
        <f t="array" ref="F64">F63*(1+D64/100)</f>
        <v>146.432124345984</v>
      </c>
      <c r="G64" t="str" s="92" cm="1">
        <f t="array" ref="G64">IF(C64&gt;D64,"Yes","No")</f>
        <v>Yes</v>
      </c>
      <c r="H64" s="84"/>
      <c r="I64" s="84"/>
      <c r="J64" s="84"/>
      <c r="K64" s="84"/>
      <c r="L64" s="46"/>
      <c r="M64" s="46"/>
      <c r="N64" s="46"/>
      <c r="O64" s="46"/>
      <c r="P64" s="46"/>
      <c r="Q64" s="46"/>
      <c r="R64" s="46"/>
      <c r="S64" s="46"/>
      <c r="T64" s="46"/>
    </row>
    <row r="65" ht="13.65" customHeight="1">
      <c r="A65" t="s" s="90">
        <v>342</v>
      </c>
      <c r="B65" t="s" s="83">
        <v>38</v>
      </c>
      <c r="C65" s="91">
        <v>4.57</v>
      </c>
      <c r="D65" s="91">
        <v>1.02</v>
      </c>
      <c r="E65" s="91" cm="1">
        <f t="array" ref="E65">E64*(1+C65/100)</f>
        <v>148.289234382745</v>
      </c>
      <c r="F65" s="91" cm="1">
        <f t="array" ref="F65">F64*(1+D65/100)</f>
        <v>147.925732014313</v>
      </c>
      <c r="G65" t="str" s="92" cm="1">
        <f t="array" ref="G65">IF(C65&gt;D65,"Yes","No")</f>
        <v>Yes</v>
      </c>
      <c r="H65" s="84"/>
      <c r="I65" s="84"/>
      <c r="J65" s="84"/>
      <c r="K65" s="84"/>
      <c r="L65" s="46"/>
      <c r="M65" s="46"/>
      <c r="N65" s="46"/>
      <c r="O65" s="46"/>
      <c r="P65" s="46"/>
      <c r="Q65" s="46"/>
      <c r="R65" s="46"/>
      <c r="S65" s="46"/>
      <c r="T65" s="46"/>
    </row>
    <row r="66" ht="13.65" customHeight="1">
      <c r="A66" t="s" s="90">
        <v>343</v>
      </c>
      <c r="B66" t="s" s="83">
        <v>34</v>
      </c>
      <c r="C66" s="91">
        <v>9.029999999999999</v>
      </c>
      <c r="D66" s="91">
        <v>4.73</v>
      </c>
      <c r="E66" s="91" cm="1">
        <f t="array" ref="E66">E65*(1+C66/100)</f>
        <v>161.679752247507</v>
      </c>
      <c r="F66" s="91" cm="1">
        <f t="array" ref="F66">F65*(1+D66/100)</f>
        <v>154.922619138590</v>
      </c>
      <c r="G66" t="str" s="92" cm="1">
        <f t="array" ref="G66">IF(C66&gt;D66,"Yes","No")</f>
        <v>Yes</v>
      </c>
      <c r="H66" s="84"/>
      <c r="I66" s="84"/>
      <c r="J66" s="84"/>
      <c r="K66" s="84"/>
      <c r="L66" s="46"/>
      <c r="M66" s="46"/>
      <c r="N66" s="46"/>
      <c r="O66" s="46"/>
      <c r="P66" s="46"/>
      <c r="Q66" s="46"/>
      <c r="R66" s="46"/>
      <c r="S66" s="46"/>
      <c r="T66" s="46"/>
    </row>
    <row r="67" ht="13.65" customHeight="1">
      <c r="A67" t="s" s="90">
        <v>344</v>
      </c>
      <c r="B67" t="s" s="83">
        <v>34</v>
      </c>
      <c r="C67" s="91">
        <v>10.45</v>
      </c>
      <c r="D67" s="91">
        <v>10.52</v>
      </c>
      <c r="E67" s="91" cm="1">
        <f t="array" ref="E67">E66*(1+C67/100)</f>
        <v>178.575286357371</v>
      </c>
      <c r="F67" s="91" cm="1">
        <f t="array" ref="F67">F66*(1+D67/100)</f>
        <v>171.220478671970</v>
      </c>
      <c r="G67" t="str" s="92" cm="1">
        <f t="array" ref="G67">IF(C67&gt;D67,"Yes","No")</f>
        <v>No</v>
      </c>
      <c r="H67" s="84"/>
      <c r="I67" s="84"/>
      <c r="J67" s="84"/>
      <c r="K67" s="84"/>
      <c r="L67" s="46"/>
      <c r="M67" s="46"/>
      <c r="N67" s="46"/>
      <c r="O67" s="46"/>
      <c r="P67" s="46"/>
      <c r="Q67" s="46"/>
      <c r="R67" s="46"/>
      <c r="S67" s="46"/>
      <c r="T67" s="46"/>
    </row>
    <row r="68" ht="13.65" customHeight="1">
      <c r="A68" t="s" s="90">
        <v>345</v>
      </c>
      <c r="B68" t="s" s="83">
        <v>41</v>
      </c>
      <c r="C68" s="91">
        <v>-0.24</v>
      </c>
      <c r="D68" s="91">
        <v>2.66</v>
      </c>
      <c r="E68" s="91" cm="1">
        <f t="array" ref="E68">E67*(1+C68/100)</f>
        <v>178.146705670113</v>
      </c>
      <c r="F68" s="91" cm="1">
        <f t="array" ref="F68">F67*(1+D68/100)</f>
        <v>175.774943404644</v>
      </c>
      <c r="G68" t="str" s="92" cm="1">
        <f t="array" ref="G68">IF(C68&gt;D68,"Yes","No")</f>
        <v>No</v>
      </c>
      <c r="H68" s="84"/>
      <c r="I68" s="84"/>
      <c r="J68" s="84"/>
      <c r="K68" s="84"/>
      <c r="L68" s="46"/>
      <c r="M68" s="46"/>
      <c r="N68" s="46"/>
      <c r="O68" s="46"/>
      <c r="P68" s="46"/>
      <c r="Q68" s="46"/>
      <c r="R68" s="46"/>
      <c r="S68" s="46"/>
      <c r="T68" s="46"/>
    </row>
    <row r="69" ht="13.65" customHeight="1">
      <c r="A69" t="s" s="90">
        <v>346</v>
      </c>
      <c r="B69" t="s" s="83">
        <v>21</v>
      </c>
      <c r="C69" s="91">
        <v>-9.93</v>
      </c>
      <c r="D69" s="91">
        <v>1.75</v>
      </c>
      <c r="E69" s="91" cm="1">
        <f t="array" ref="E69">E68*(1+C69/100)</f>
        <v>160.456737797071</v>
      </c>
      <c r="F69" s="91" cm="1">
        <f t="array" ref="F69">F68*(1+D69/100)</f>
        <v>178.851004914225</v>
      </c>
      <c r="G69" t="str" s="92" cm="1">
        <f t="array" ref="G69">IF(C69&gt;D69,"Yes","No")</f>
        <v>No</v>
      </c>
      <c r="H69" s="84"/>
      <c r="I69" s="84"/>
      <c r="J69" s="84"/>
      <c r="K69" s="84"/>
      <c r="L69" s="46"/>
      <c r="M69" s="46"/>
      <c r="N69" s="46"/>
      <c r="O69" s="46"/>
      <c r="P69" s="46"/>
      <c r="Q69" s="46"/>
      <c r="R69" s="46"/>
      <c r="S69" s="46"/>
      <c r="T69" s="46"/>
    </row>
    <row r="70" ht="13.65" customHeight="1">
      <c r="A70" t="s" s="90">
        <v>347</v>
      </c>
      <c r="B70" t="s" s="83">
        <v>41</v>
      </c>
      <c r="C70" s="91">
        <v>6.87</v>
      </c>
      <c r="D70" s="91">
        <v>2.21</v>
      </c>
      <c r="E70" s="91" cm="1">
        <f t="array" ref="E70">E69*(1+C70/100)</f>
        <v>171.480115683730</v>
      </c>
      <c r="F70" s="91" cm="1">
        <f t="array" ref="F70">F69*(1+D70/100)</f>
        <v>182.803612122829</v>
      </c>
      <c r="G70" t="str" s="92" cm="1">
        <f t="array" ref="G70">IF(C70&gt;D70,"Yes","No")</f>
        <v>Yes</v>
      </c>
      <c r="H70" s="84"/>
      <c r="I70" s="84"/>
      <c r="J70" s="84"/>
      <c r="K70" s="84"/>
      <c r="L70" s="46"/>
      <c r="M70" s="46"/>
      <c r="N70" s="46"/>
      <c r="O70" s="46"/>
      <c r="P70" s="46"/>
      <c r="Q70" s="46"/>
      <c r="R70" s="46"/>
      <c r="S70" s="46"/>
      <c r="T70" s="46"/>
    </row>
    <row r="71" ht="13.65" customHeight="1">
      <c r="A71" t="s" s="90">
        <v>348</v>
      </c>
      <c r="B71" t="s" s="83">
        <v>21</v>
      </c>
      <c r="C71" s="91">
        <v>23.54</v>
      </c>
      <c r="D71" s="91">
        <v>9.699999999999999</v>
      </c>
      <c r="E71" s="91" cm="1">
        <f t="array" ref="E71">E70*(1+C71/100)</f>
        <v>211.846534915680</v>
      </c>
      <c r="F71" s="91" cm="1">
        <f t="array" ref="F71">F70*(1+D71/100)</f>
        <v>200.535562498743</v>
      </c>
      <c r="G71" t="str" s="92" cm="1">
        <f t="array" ref="G71">IF(C71&gt;D71,"Yes","No")</f>
        <v>Yes</v>
      </c>
      <c r="H71" s="84"/>
      <c r="I71" s="84"/>
      <c r="J71" s="84"/>
      <c r="K71" s="84"/>
      <c r="L71" s="46"/>
      <c r="M71" s="46"/>
      <c r="N71" s="46"/>
      <c r="O71" s="46"/>
      <c r="P71" s="46"/>
      <c r="Q71" s="46"/>
      <c r="R71" s="46"/>
      <c r="S71" s="46"/>
      <c r="T71" s="46"/>
    </row>
    <row r="72" ht="13.65" customHeight="1">
      <c r="A72" t="s" s="90">
        <v>349</v>
      </c>
      <c r="B72" t="s" s="83">
        <v>21</v>
      </c>
      <c r="C72" s="91">
        <v>6.63</v>
      </c>
      <c r="D72" s="91">
        <v>7.43</v>
      </c>
      <c r="E72" s="91" cm="1">
        <f t="array" ref="E72">E71*(1+C72/100)</f>
        <v>225.891960180590</v>
      </c>
      <c r="F72" s="91" cm="1">
        <f t="array" ref="F72">F71*(1+D72/100)</f>
        <v>215.4353547924</v>
      </c>
      <c r="G72" t="str" s="92" cm="1">
        <f t="array" ref="G72">IF(C72&gt;D72,"Yes","No")</f>
        <v>No</v>
      </c>
      <c r="H72" s="84"/>
      <c r="I72" s="84"/>
      <c r="J72" s="84"/>
      <c r="K72" s="84"/>
      <c r="L72" s="46"/>
      <c r="M72" s="46"/>
      <c r="N72" s="46"/>
      <c r="O72" s="46"/>
      <c r="P72" s="46"/>
      <c r="Q72" s="46"/>
      <c r="R72" s="46"/>
      <c r="S72" s="46"/>
      <c r="T72" s="46"/>
    </row>
    <row r="73" ht="13.65" customHeight="1">
      <c r="A73" t="s" s="90">
        <v>350</v>
      </c>
      <c r="B73" t="s" s="83">
        <v>41</v>
      </c>
      <c r="C73" s="91">
        <v>2.34</v>
      </c>
      <c r="D73" s="91">
        <v>-0.43</v>
      </c>
      <c r="E73" s="91" cm="1">
        <f t="array" ref="E73">E72*(1+C73/100)</f>
        <v>231.177832048816</v>
      </c>
      <c r="F73" s="91" cm="1">
        <f t="array" ref="F73">F72*(1+D73/100)</f>
        <v>214.508982766793</v>
      </c>
      <c r="G73" t="str" s="92" cm="1">
        <f t="array" ref="G73">IF(C73&gt;D73,"Yes","No")</f>
        <v>Yes</v>
      </c>
      <c r="H73" s="84"/>
      <c r="I73" s="84"/>
      <c r="J73" s="84"/>
      <c r="K73" s="84"/>
      <c r="L73" s="46"/>
      <c r="M73" s="46"/>
      <c r="N73" s="46"/>
      <c r="O73" s="46"/>
      <c r="P73" s="46"/>
      <c r="Q73" s="46"/>
      <c r="R73" s="46"/>
      <c r="S73" s="46"/>
      <c r="T73" s="46"/>
    </row>
    <row r="74" ht="13.65" customHeight="1">
      <c r="A74" t="s" s="90">
        <v>351</v>
      </c>
      <c r="B74" t="s" s="83">
        <v>34</v>
      </c>
      <c r="C74" s="91">
        <v>-2.03</v>
      </c>
      <c r="D74" s="91">
        <v>1.21</v>
      </c>
      <c r="E74" s="91" cm="1">
        <f t="array" ref="E74">E73*(1+C74/100)</f>
        <v>226.484922058225</v>
      </c>
      <c r="F74" s="91" cm="1">
        <f t="array" ref="F74">F73*(1+D74/100)</f>
        <v>217.104541458271</v>
      </c>
      <c r="G74" t="str" s="92" cm="1">
        <f t="array" ref="G74">IF(C74&gt;D74,"Yes","No")</f>
        <v>No</v>
      </c>
      <c r="H74" s="84"/>
      <c r="I74" s="84"/>
      <c r="J74" s="84"/>
      <c r="K74" s="84"/>
      <c r="L74" s="46"/>
      <c r="M74" s="46"/>
      <c r="N74" s="46"/>
      <c r="O74" s="46"/>
      <c r="P74" s="46"/>
      <c r="Q74" s="46"/>
      <c r="R74" s="46"/>
      <c r="S74" s="46"/>
      <c r="T74" s="46"/>
    </row>
    <row r="75" ht="13.65" customHeight="1">
      <c r="A75" t="s" s="90">
        <v>352</v>
      </c>
      <c r="B75" t="s" s="83">
        <v>21</v>
      </c>
      <c r="C75" s="91">
        <v>-3.36</v>
      </c>
      <c r="D75" s="91">
        <v>2.65</v>
      </c>
      <c r="E75" s="91" cm="1">
        <f t="array" ref="E75">E74*(1+C75/100)</f>
        <v>218.875028677069</v>
      </c>
      <c r="F75" s="91" cm="1">
        <f t="array" ref="F75">F74*(1+D75/100)</f>
        <v>222.857811806915</v>
      </c>
      <c r="G75" t="str" s="92" cm="1">
        <f t="array" ref="G75">IF(C75&gt;D75,"Yes","No")</f>
        <v>No</v>
      </c>
      <c r="H75" s="84"/>
      <c r="I75" s="84"/>
      <c r="J75" s="84"/>
      <c r="K75" s="84"/>
      <c r="L75" s="46"/>
      <c r="M75" s="46"/>
      <c r="N75" s="46"/>
      <c r="O75" s="46"/>
      <c r="P75" s="46"/>
      <c r="Q75" s="46"/>
      <c r="R75" s="46"/>
      <c r="S75" s="46"/>
      <c r="T75" s="46"/>
    </row>
    <row r="76" ht="13.65" customHeight="1">
      <c r="A76" t="s" s="90">
        <v>353</v>
      </c>
      <c r="B76" t="s" s="83">
        <v>30</v>
      </c>
      <c r="C76" s="91">
        <v>-3.65</v>
      </c>
      <c r="D76" s="91">
        <v>0.6899999999999999</v>
      </c>
      <c r="E76" s="91" cm="1">
        <f t="array" ref="E76">E75*(1+C76/100)</f>
        <v>210.886090130356</v>
      </c>
      <c r="F76" s="91" cm="1">
        <f t="array" ref="F76">F75*(1+D76/100)</f>
        <v>224.395530708383</v>
      </c>
      <c r="G76" t="str" s="92" cm="1">
        <f t="array" ref="G76">IF(C76&gt;D76,"Yes","No")</f>
        <v>No</v>
      </c>
      <c r="H76" s="84"/>
      <c r="I76" s="84"/>
      <c r="J76" s="84"/>
      <c r="K76" s="84"/>
      <c r="L76" s="46"/>
      <c r="M76" s="46"/>
      <c r="N76" s="46"/>
      <c r="O76" s="46"/>
      <c r="P76" s="46"/>
      <c r="Q76" s="46"/>
      <c r="R76" s="46"/>
      <c r="S76" s="46"/>
      <c r="T76" s="46"/>
    </row>
    <row r="77" ht="13.65" customHeight="1">
      <c r="A77" t="s" s="90">
        <v>354</v>
      </c>
      <c r="B77" t="s" s="83">
        <v>38</v>
      </c>
      <c r="C77" s="91">
        <v>5.39</v>
      </c>
      <c r="D77" s="91">
        <v>6.5</v>
      </c>
      <c r="E77" s="91" cm="1">
        <f t="array" ref="E77">E76*(1+C77/100)</f>
        <v>222.252850388382</v>
      </c>
      <c r="F77" s="91" cm="1">
        <f t="array" ref="F77">F76*(1+D77/100)</f>
        <v>238.981240204428</v>
      </c>
      <c r="G77" t="str" s="92" cm="1">
        <f t="array" ref="G77">IF(C77&gt;D77,"Yes","No")</f>
        <v>No</v>
      </c>
      <c r="H77" s="84"/>
      <c r="I77" s="84"/>
      <c r="J77" s="84"/>
      <c r="K77" s="84"/>
      <c r="L77" s="46"/>
      <c r="M77" s="46"/>
      <c r="N77" s="46"/>
      <c r="O77" s="46"/>
      <c r="P77" s="46"/>
      <c r="Q77" s="46"/>
      <c r="R77" s="46"/>
      <c r="S77" s="46"/>
      <c r="T77" s="46"/>
    </row>
    <row r="78" ht="13.65" customHeight="1">
      <c r="A78" t="s" s="90">
        <v>355</v>
      </c>
      <c r="B78" t="s" s="83">
        <v>21</v>
      </c>
      <c r="C78" s="91">
        <v>-2.34</v>
      </c>
      <c r="D78" s="91">
        <v>1.42</v>
      </c>
      <c r="E78" s="91" cm="1">
        <f t="array" ref="E78">E77*(1+C78/100)</f>
        <v>217.052133689294</v>
      </c>
      <c r="F78" s="91" cm="1">
        <f t="array" ref="F78">F77*(1+D78/100)</f>
        <v>242.374773815331</v>
      </c>
      <c r="G78" t="str" s="92" cm="1">
        <f t="array" ref="G78">IF(C78&gt;D78,"Yes","No")</f>
        <v>No</v>
      </c>
      <c r="H78" s="84"/>
      <c r="I78" s="84"/>
      <c r="J78" s="84"/>
      <c r="K78" s="84"/>
      <c r="L78" s="46"/>
      <c r="M78" s="46"/>
      <c r="N78" s="46"/>
      <c r="O78" s="46"/>
      <c r="P78" s="46"/>
      <c r="Q78" s="46"/>
      <c r="R78" s="46"/>
      <c r="S78" s="46"/>
      <c r="T78" s="46"/>
    </row>
    <row r="79" ht="13.65" customHeight="1">
      <c r="A79" t="s" s="90">
        <v>356</v>
      </c>
      <c r="B79" t="s" s="83">
        <v>41</v>
      </c>
      <c r="C79" s="91">
        <v>4.49</v>
      </c>
      <c r="D79" s="91">
        <v>-0.17</v>
      </c>
      <c r="E79" s="91" cm="1">
        <f t="array" ref="E79">E78*(1+C79/100)</f>
        <v>226.797774491943</v>
      </c>
      <c r="F79" s="91" cm="1">
        <f t="array" ref="F79">F78*(1+D79/100)</f>
        <v>241.962736699845</v>
      </c>
      <c r="G79" t="str" s="92" cm="1">
        <f t="array" ref="G79">IF(C79&gt;D79,"Yes","No")</f>
        <v>Yes</v>
      </c>
      <c r="H79" s="84"/>
      <c r="I79" s="84"/>
      <c r="J79" s="84"/>
      <c r="K79" s="84"/>
      <c r="L79" s="46"/>
      <c r="M79" s="46"/>
      <c r="N79" s="46"/>
      <c r="O79" s="46"/>
      <c r="P79" s="46"/>
      <c r="Q79" s="46"/>
      <c r="R79" s="46"/>
      <c r="S79" s="46"/>
      <c r="T79" s="46"/>
    </row>
    <row r="80" ht="13.65" customHeight="1">
      <c r="A80" t="s" s="90">
        <v>357</v>
      </c>
      <c r="B80" t="s" s="83">
        <v>41</v>
      </c>
      <c r="C80" s="91">
        <v>13.89</v>
      </c>
      <c r="D80" s="91">
        <v>6.32</v>
      </c>
      <c r="E80" s="91" cm="1">
        <f t="array" ref="E80">E79*(1+C80/100)</f>
        <v>258.299985368874</v>
      </c>
      <c r="F80" s="91" cm="1">
        <f t="array" ref="F80">F79*(1+D80/100)</f>
        <v>257.254781659275</v>
      </c>
      <c r="G80" t="str" s="92" cm="1">
        <f t="array" ref="G80">IF(C80&gt;D80,"Yes","No")</f>
        <v>Yes</v>
      </c>
      <c r="H80" s="84"/>
      <c r="I80" s="84"/>
      <c r="J80" s="84"/>
      <c r="K80" s="84"/>
      <c r="L80" s="46"/>
      <c r="M80" s="46"/>
      <c r="N80" s="46"/>
      <c r="O80" s="46"/>
      <c r="P80" s="46"/>
      <c r="Q80" s="46"/>
      <c r="R80" s="46"/>
      <c r="S80" s="46"/>
      <c r="T80" s="46"/>
    </row>
    <row r="81" ht="13.65" customHeight="1">
      <c r="A81" t="s" s="90">
        <v>358</v>
      </c>
      <c r="B81" t="s" s="83">
        <v>41</v>
      </c>
      <c r="C81" s="91">
        <v>0.06</v>
      </c>
      <c r="D81" s="91">
        <v>1.88</v>
      </c>
      <c r="E81" s="91" cm="1">
        <f t="array" ref="E81">E80*(1+C81/100)</f>
        <v>258.454965360095</v>
      </c>
      <c r="F81" s="91" cm="1">
        <f t="array" ref="F81">F80*(1+D81/100)</f>
        <v>262.091171554469</v>
      </c>
      <c r="G81" t="str" s="92" cm="1">
        <f t="array" ref="G81">IF(C81&gt;D81,"Yes","No")</f>
        <v>No</v>
      </c>
      <c r="H81" s="84"/>
      <c r="I81" s="84"/>
      <c r="J81" s="84"/>
      <c r="K81" s="84"/>
      <c r="L81" s="46"/>
      <c r="M81" s="46"/>
      <c r="N81" s="46"/>
      <c r="O81" s="46"/>
      <c r="P81" s="46"/>
      <c r="Q81" s="46"/>
      <c r="R81" s="46"/>
      <c r="S81" s="46"/>
      <c r="T81" s="46"/>
    </row>
    <row r="82" ht="13.65" customHeight="1">
      <c r="A82" t="s" s="90">
        <v>359</v>
      </c>
      <c r="B82" t="s" s="83">
        <v>34</v>
      </c>
      <c r="C82" s="91">
        <v>-1.79</v>
      </c>
      <c r="D82" s="91">
        <v>-1.5</v>
      </c>
      <c r="E82" s="91" cm="1">
        <f t="array" ref="E82">E81*(1+C82/100)</f>
        <v>253.828621480149</v>
      </c>
      <c r="F82" s="91" cm="1">
        <f t="array" ref="F82">F81*(1+D82/100)</f>
        <v>258.159803981152</v>
      </c>
      <c r="G82" t="str" s="92" cm="1">
        <f t="array" ref="G82">IF(C82&gt;D82,"Yes","No")</f>
        <v>No</v>
      </c>
      <c r="H82" s="84"/>
      <c r="I82" s="84"/>
      <c r="J82" s="84"/>
      <c r="K82" s="84"/>
      <c r="L82" s="46"/>
      <c r="M82" s="46"/>
      <c r="N82" s="46"/>
      <c r="O82" s="46"/>
      <c r="P82" s="46"/>
      <c r="Q82" s="46"/>
      <c r="R82" s="46"/>
      <c r="S82" s="46"/>
      <c r="T82" s="46"/>
    </row>
    <row r="83" ht="13.65" customHeight="1">
      <c r="A83" t="s" s="90">
        <v>360</v>
      </c>
      <c r="B83" t="s" s="83">
        <v>21</v>
      </c>
      <c r="C83" s="91">
        <v>-7.96</v>
      </c>
      <c r="D83" s="91">
        <v>-3.07</v>
      </c>
      <c r="E83" s="91" cm="1">
        <f t="array" ref="E83">E82*(1+C83/100)</f>
        <v>233.623863210329</v>
      </c>
      <c r="F83" s="91" cm="1">
        <f t="array" ref="F83">F82*(1+D83/100)</f>
        <v>250.234297998931</v>
      </c>
      <c r="G83" t="str" s="92" cm="1">
        <f t="array" ref="G83">IF(C83&gt;D83,"Yes","No")</f>
        <v>No</v>
      </c>
      <c r="H83" s="84"/>
      <c r="I83" s="84"/>
      <c r="J83" s="84"/>
      <c r="K83" s="84"/>
      <c r="L83" s="46"/>
      <c r="M83" s="46"/>
      <c r="N83" s="46"/>
      <c r="O83" s="46"/>
      <c r="P83" s="46"/>
      <c r="Q83" s="46"/>
      <c r="R83" s="46"/>
      <c r="S83" s="46"/>
      <c r="T83" s="46"/>
    </row>
    <row r="84" ht="13.65" customHeight="1">
      <c r="A84" t="s" s="90">
        <v>361</v>
      </c>
      <c r="B84" t="s" s="83">
        <v>41</v>
      </c>
      <c r="C84" s="91">
        <v>12.1</v>
      </c>
      <c r="D84" s="91">
        <v>3.76</v>
      </c>
      <c r="E84" s="91" cm="1">
        <f t="array" ref="E84">E83*(1+C84/100)</f>
        <v>261.892350658779</v>
      </c>
      <c r="F84" s="91" cm="1">
        <f t="array" ref="F84">F83*(1+D84/100)</f>
        <v>259.643107603691</v>
      </c>
      <c r="G84" t="str" s="92" cm="1">
        <f t="array" ref="G84">IF(C84&gt;D84,"Yes","No")</f>
        <v>Yes</v>
      </c>
      <c r="H84" s="84"/>
      <c r="I84" s="84"/>
      <c r="J84" s="84"/>
      <c r="K84" s="84"/>
      <c r="L84" s="46"/>
      <c r="M84" s="46"/>
      <c r="N84" s="46"/>
      <c r="O84" s="46"/>
      <c r="P84" s="46"/>
      <c r="Q84" s="46"/>
      <c r="R84" s="46"/>
      <c r="S84" s="46"/>
      <c r="T84" s="46"/>
    </row>
    <row r="85" ht="13.65" customHeight="1">
      <c r="A85" t="s" s="90">
        <v>362</v>
      </c>
      <c r="B85" t="s" s="83">
        <v>41</v>
      </c>
      <c r="C85" s="91">
        <v>-12.36</v>
      </c>
      <c r="D85" s="91">
        <v>-1.06</v>
      </c>
      <c r="E85" s="91" cm="1">
        <f t="array" ref="E85">E84*(1+C85/100)</f>
        <v>229.522456117354</v>
      </c>
      <c r="F85" s="91" cm="1">
        <f t="array" ref="F85">F84*(1+D85/100)</f>
        <v>256.890890663092</v>
      </c>
      <c r="G85" t="str" s="92" cm="1">
        <f t="array" ref="G85">IF(C85&gt;D85,"Yes","No")</f>
        <v>No</v>
      </c>
      <c r="H85" s="84"/>
      <c r="I85" s="84"/>
      <c r="J85" s="84"/>
      <c r="K85" s="84"/>
      <c r="L85" s="46"/>
      <c r="M85" s="46"/>
      <c r="N85" s="46"/>
      <c r="O85" s="46"/>
      <c r="P85" s="46"/>
      <c r="Q85" s="46"/>
      <c r="R85" s="46"/>
      <c r="S85" s="46"/>
      <c r="T85" s="46"/>
    </row>
    <row r="86" ht="13.65" customHeight="1">
      <c r="A86" t="s" s="90">
        <v>363</v>
      </c>
      <c r="B86" t="s" s="83">
        <v>34</v>
      </c>
      <c r="C86" s="91">
        <v>-4.37</v>
      </c>
      <c r="D86" s="91">
        <v>-3.33</v>
      </c>
      <c r="E86" s="91" cm="1">
        <f t="array" ref="E86">E85*(1+C86/100)</f>
        <v>219.492324785026</v>
      </c>
      <c r="F86" s="91" cm="1">
        <f t="array" ref="F86">F85*(1+D86/100)</f>
        <v>248.336424004011</v>
      </c>
      <c r="G86" t="str" s="92" cm="1">
        <f t="array" ref="G86">IF(C86&gt;D86,"Yes","No")</f>
        <v>No</v>
      </c>
      <c r="H86" s="84"/>
      <c r="I86" s="84"/>
      <c r="J86" s="84"/>
      <c r="K86" s="84"/>
      <c r="L86" s="46"/>
      <c r="M86" s="46"/>
      <c r="N86" s="46"/>
      <c r="O86" s="46"/>
      <c r="P86" s="46"/>
      <c r="Q86" s="46"/>
      <c r="R86" s="46"/>
      <c r="S86" s="46"/>
      <c r="T86" s="46"/>
    </row>
    <row r="87" ht="13.65" customHeight="1">
      <c r="A87" t="s" s="90">
        <v>364</v>
      </c>
      <c r="B87" t="s" s="83">
        <v>30</v>
      </c>
      <c r="C87" s="91">
        <v>-0.6</v>
      </c>
      <c r="D87" s="91">
        <v>1.65</v>
      </c>
      <c r="E87" s="91" cm="1">
        <f t="array" ref="E87">E86*(1+C87/100)</f>
        <v>218.175370836316</v>
      </c>
      <c r="F87" s="91" cm="1">
        <f t="array" ref="F87">F86*(1+D87/100)</f>
        <v>252.433975000077</v>
      </c>
      <c r="G87" t="str" s="92" cm="1">
        <f t="array" ref="G87">IF(C87&gt;D87,"Yes","No")</f>
        <v>No</v>
      </c>
      <c r="H87" s="84"/>
      <c r="I87" s="84"/>
      <c r="J87" s="84"/>
      <c r="K87" s="84"/>
      <c r="L87" s="46"/>
      <c r="M87" s="46"/>
      <c r="N87" s="46"/>
      <c r="O87" s="46"/>
      <c r="P87" s="46"/>
      <c r="Q87" s="46"/>
      <c r="R87" s="46"/>
      <c r="S87" s="46"/>
      <c r="T87" s="46"/>
    </row>
    <row r="88" ht="13.65" customHeight="1">
      <c r="A88" t="s" s="90">
        <v>365</v>
      </c>
      <c r="B88" t="s" s="83">
        <v>38</v>
      </c>
      <c r="C88" s="91">
        <v>-0.72</v>
      </c>
      <c r="D88" s="91">
        <v>-0.29</v>
      </c>
      <c r="E88" s="91" cm="1">
        <f t="array" ref="E88">E87*(1+C88/100)</f>
        <v>216.604508166295</v>
      </c>
      <c r="F88" s="91" cm="1">
        <f t="array" ref="F88">F87*(1+D88/100)</f>
        <v>251.701916472577</v>
      </c>
      <c r="G88" t="str" s="92" cm="1">
        <f t="array" ref="G88">IF(C88&gt;D88,"Yes","No")</f>
        <v>No</v>
      </c>
      <c r="H88" s="84"/>
      <c r="I88" s="84"/>
      <c r="J88" s="84"/>
      <c r="K88" s="84"/>
      <c r="L88" s="46"/>
      <c r="M88" s="46"/>
      <c r="N88" s="46"/>
      <c r="O88" s="46"/>
      <c r="P88" s="46"/>
      <c r="Q88" s="46"/>
      <c r="R88" s="46"/>
      <c r="S88" s="46"/>
      <c r="T88" s="46"/>
    </row>
    <row r="89" ht="13.65" customHeight="1">
      <c r="A89" t="s" s="90">
        <v>366</v>
      </c>
      <c r="B89" t="s" s="83">
        <v>34</v>
      </c>
      <c r="C89" s="91">
        <v>7.21</v>
      </c>
      <c r="D89" s="91">
        <v>-0.6899999999999999</v>
      </c>
      <c r="E89" s="91" cm="1">
        <f t="array" ref="E89">E88*(1+C89/100)</f>
        <v>232.221693205085</v>
      </c>
      <c r="F89" s="91" cm="1">
        <f t="array" ref="F89">F88*(1+D89/100)</f>
        <v>249.965173248916</v>
      </c>
      <c r="G89" t="str" s="92" cm="1">
        <f t="array" ref="G89">IF(C89&gt;D89,"Yes","No")</f>
        <v>Yes</v>
      </c>
      <c r="H89" s="84"/>
      <c r="I89" s="84"/>
      <c r="J89" s="84"/>
      <c r="K89" s="84"/>
      <c r="L89" s="46"/>
      <c r="M89" s="46"/>
      <c r="N89" s="46"/>
      <c r="O89" s="46"/>
      <c r="P89" s="46"/>
      <c r="Q89" s="46"/>
      <c r="R89" s="46"/>
      <c r="S89" s="46"/>
      <c r="T89" s="46"/>
    </row>
    <row r="90" ht="13.65" customHeight="1">
      <c r="A90" t="s" s="90">
        <v>367</v>
      </c>
      <c r="B90" t="s" s="83">
        <v>34</v>
      </c>
      <c r="C90" s="91">
        <v>2.1</v>
      </c>
      <c r="D90" s="91">
        <v>-3.18</v>
      </c>
      <c r="E90" s="91" cm="1">
        <f t="array" ref="E90">E89*(1+C90/100)</f>
        <v>237.098348762392</v>
      </c>
      <c r="F90" s="91" cm="1">
        <f t="array" ref="F90">F89*(1+D90/100)</f>
        <v>242.0162807396</v>
      </c>
      <c r="G90" t="str" s="92" cm="1">
        <f t="array" ref="G90">IF(C90&gt;D90,"Yes","No")</f>
        <v>Yes</v>
      </c>
      <c r="H90" s="84"/>
      <c r="I90" s="84"/>
      <c r="J90" s="84"/>
      <c r="K90" s="84"/>
      <c r="L90" s="46"/>
      <c r="M90" s="46"/>
      <c r="N90" s="46"/>
      <c r="O90" s="46"/>
      <c r="P90" s="46"/>
      <c r="Q90" s="46"/>
      <c r="R90" s="46"/>
      <c r="S90" s="46"/>
      <c r="T90" s="46"/>
    </row>
    <row r="91" ht="13.65" customHeight="1">
      <c r="A91" t="s" s="90">
        <v>368</v>
      </c>
      <c r="B91" t="s" s="83">
        <v>34</v>
      </c>
      <c r="C91" s="91">
        <v>6.55</v>
      </c>
      <c r="D91" s="91">
        <v>8.130000000000001</v>
      </c>
      <c r="E91" s="91" cm="1">
        <f t="array" ref="E91">E90*(1+C91/100)</f>
        <v>252.628290606329</v>
      </c>
      <c r="F91" s="91" cm="1">
        <f t="array" ref="F91">F90*(1+D91/100)</f>
        <v>261.692204363729</v>
      </c>
      <c r="G91" t="str" s="92" cm="1">
        <f t="array" ref="G91">IF(C91&gt;D91,"Yes","No")</f>
        <v>No</v>
      </c>
      <c r="H91" s="84"/>
      <c r="I91" s="84"/>
      <c r="J91" s="84"/>
      <c r="K91" s="84"/>
      <c r="L91" s="46"/>
      <c r="M91" s="46"/>
      <c r="N91" s="46"/>
      <c r="O91" s="46"/>
      <c r="P91" s="46"/>
      <c r="Q91" s="46"/>
      <c r="R91" s="46"/>
      <c r="S91" s="46"/>
      <c r="T91" s="46"/>
    </row>
    <row r="92" ht="13.65" customHeight="1">
      <c r="A92" t="s" s="90">
        <v>369</v>
      </c>
      <c r="B92" t="s" s="83">
        <v>21</v>
      </c>
      <c r="C92" s="91">
        <v>4.58</v>
      </c>
      <c r="D92" s="91">
        <v>2.29</v>
      </c>
      <c r="E92" s="91" cm="1">
        <f t="array" ref="E92">E91*(1+C92/100)</f>
        <v>264.198666316099</v>
      </c>
      <c r="F92" s="91" cm="1">
        <f t="array" ref="F92">F91*(1+D92/100)</f>
        <v>267.684955843658</v>
      </c>
      <c r="G92" t="str" s="92" cm="1">
        <f t="array" ref="G92">IF(C92&gt;D92,"Yes","No")</f>
        <v>Yes</v>
      </c>
      <c r="H92" s="84"/>
      <c r="I92" s="84"/>
      <c r="J92" s="84"/>
      <c r="K92" s="84"/>
      <c r="L92" s="46"/>
      <c r="M92" s="46"/>
      <c r="N92" s="46"/>
      <c r="O92" s="46"/>
      <c r="P92" s="46"/>
      <c r="Q92" s="46"/>
      <c r="R92" s="46"/>
      <c r="S92" s="46"/>
      <c r="T92" s="46"/>
    </row>
    <row r="93" ht="13.65" customHeight="1">
      <c r="A93" t="s" s="90">
        <v>370</v>
      </c>
      <c r="B93" t="s" s="83">
        <v>34</v>
      </c>
      <c r="C93" s="91">
        <v>-4.28</v>
      </c>
      <c r="D93" s="91">
        <v>-1.49</v>
      </c>
      <c r="E93" s="91" cm="1">
        <f t="array" ref="E93">E92*(1+C93/100)</f>
        <v>252.890963397770</v>
      </c>
      <c r="F93" s="91" cm="1">
        <f t="array" ref="F93">F92*(1+D93/100)</f>
        <v>263.696450001587</v>
      </c>
      <c r="G93" t="str" s="92" cm="1">
        <f t="array" ref="G93">IF(C93&gt;D93,"Yes","No")</f>
        <v>No</v>
      </c>
      <c r="H93" s="84"/>
      <c r="I93" s="84"/>
      <c r="J93" s="84"/>
      <c r="K93" s="84"/>
      <c r="L93" s="46"/>
      <c r="M93" s="46"/>
      <c r="N93" s="46"/>
      <c r="O93" s="46"/>
      <c r="P93" s="46"/>
      <c r="Q93" s="46"/>
      <c r="R93" s="46"/>
      <c r="S93" s="46"/>
      <c r="T93" s="46"/>
    </row>
    <row r="94" ht="13.65" customHeight="1">
      <c r="A94" t="s" s="90">
        <v>371</v>
      </c>
      <c r="B94" t="s" s="83">
        <v>38</v>
      </c>
      <c r="C94" s="91">
        <v>2.91</v>
      </c>
      <c r="D94" s="91">
        <v>4.95</v>
      </c>
      <c r="E94" s="91" cm="1">
        <f t="array" ref="E94">E93*(1+C94/100)</f>
        <v>260.250090432645</v>
      </c>
      <c r="F94" s="91" cm="1">
        <f t="array" ref="F94">F93*(1+D94/100)</f>
        <v>276.749424276666</v>
      </c>
      <c r="G94" t="str" s="92" cm="1">
        <f t="array" ref="G94">IF(C94&gt;D94,"Yes","No")</f>
        <v>No</v>
      </c>
      <c r="H94" s="84"/>
      <c r="I94" s="84"/>
      <c r="J94" s="84"/>
      <c r="K94" s="84"/>
      <c r="L94" s="46"/>
      <c r="M94" s="46"/>
      <c r="N94" s="46"/>
      <c r="O94" s="46"/>
      <c r="P94" s="46"/>
      <c r="Q94" s="46"/>
      <c r="R94" s="46"/>
      <c r="S94" s="46"/>
      <c r="T94" s="46"/>
    </row>
    <row r="95" ht="13.65" customHeight="1">
      <c r="A95" t="s" s="90">
        <v>372</v>
      </c>
      <c r="B95" t="s" s="83">
        <v>21</v>
      </c>
      <c r="C95" s="91">
        <v>3.91</v>
      </c>
      <c r="D95" s="91">
        <v>2.74</v>
      </c>
      <c r="E95" s="91" cm="1">
        <f t="array" ref="E95">E94*(1+C95/100)</f>
        <v>270.425868968561</v>
      </c>
      <c r="F95" s="91" cm="1">
        <f t="array" ref="F95">F94*(1+D95/100)</f>
        <v>284.332358501847</v>
      </c>
      <c r="G95" t="str" s="92" cm="1">
        <f t="array" ref="G95">IF(C95&gt;D95,"Yes","No")</f>
        <v>Yes</v>
      </c>
      <c r="H95" s="84"/>
      <c r="I95" s="84"/>
      <c r="J95" s="84"/>
      <c r="K95" s="84"/>
      <c r="L95" s="46"/>
      <c r="M95" s="46"/>
      <c r="N95" s="46"/>
      <c r="O95" s="46"/>
      <c r="P95" s="46"/>
      <c r="Q95" s="46"/>
      <c r="R95" s="46"/>
      <c r="S95" s="46"/>
      <c r="T95" s="46"/>
    </row>
    <row r="96" ht="13.65" customHeight="1">
      <c r="A96" t="s" s="90">
        <v>373</v>
      </c>
      <c r="B96" t="s" s="83">
        <v>21</v>
      </c>
      <c r="C96" s="91">
        <v>-1.23</v>
      </c>
      <c r="D96" s="91">
        <v>-3.77</v>
      </c>
      <c r="E96" s="91" cm="1">
        <f t="array" ref="E96">E95*(1+C96/100)</f>
        <v>267.099630780248</v>
      </c>
      <c r="F96" s="91" cm="1">
        <f t="array" ref="F96">F95*(1+D96/100)</f>
        <v>273.613028586327</v>
      </c>
      <c r="G96" t="str" s="92" cm="1">
        <f t="array" ref="G96">IF(C96&gt;D96,"Yes","No")</f>
        <v>Yes</v>
      </c>
      <c r="H96" s="84"/>
      <c r="I96" s="84"/>
      <c r="J96" s="84"/>
      <c r="K96" s="84"/>
      <c r="L96" s="46"/>
      <c r="M96" s="46"/>
      <c r="N96" s="46"/>
      <c r="O96" s="46"/>
      <c r="P96" s="46"/>
      <c r="Q96" s="46"/>
      <c r="R96" s="46"/>
      <c r="S96" s="46"/>
      <c r="T96" s="46"/>
    </row>
    <row r="97" ht="13.65" customHeight="1">
      <c r="A97" t="s" s="90">
        <v>374</v>
      </c>
      <c r="B97" t="s" s="83">
        <v>21</v>
      </c>
      <c r="C97" s="91">
        <v>-5.94</v>
      </c>
      <c r="D97" s="91">
        <v>0.54</v>
      </c>
      <c r="E97" s="91" cm="1">
        <f t="array" ref="E97">E96*(1+C97/100)</f>
        <v>251.233912711901</v>
      </c>
      <c r="F97" s="91" cm="1">
        <f t="array" ref="F97">F96*(1+D97/100)</f>
        <v>275.090538940693</v>
      </c>
      <c r="G97" t="str" s="92" cm="1">
        <f t="array" ref="G97">IF(C97&gt;D97,"Yes","No")</f>
        <v>No</v>
      </c>
      <c r="H97" s="84"/>
      <c r="I97" s="84"/>
      <c r="J97" s="84"/>
      <c r="K97" s="84"/>
      <c r="L97" s="46"/>
      <c r="M97" s="46"/>
      <c r="N97" s="46"/>
      <c r="O97" s="46"/>
      <c r="P97" s="46"/>
      <c r="Q97" s="46"/>
      <c r="R97" s="46"/>
      <c r="S97" s="46"/>
      <c r="T97" s="46"/>
    </row>
    <row r="98" ht="13.65" customHeight="1">
      <c r="A98" t="s" s="90">
        <v>375</v>
      </c>
      <c r="B98" t="s" s="83">
        <v>34</v>
      </c>
      <c r="C98" s="91">
        <v>-5.96</v>
      </c>
      <c r="D98" s="91">
        <v>-3.21</v>
      </c>
      <c r="E98" s="91" cm="1">
        <f t="array" ref="E98">E97*(1+C98/100)</f>
        <v>236.260371514272</v>
      </c>
      <c r="F98" s="91" cm="1">
        <f t="array" ref="F98">F97*(1+D98/100)</f>
        <v>266.260132640697</v>
      </c>
      <c r="G98" t="str" s="92" cm="1">
        <f t="array" ref="G98">IF(C98&gt;D98,"Yes","No")</f>
        <v>No</v>
      </c>
      <c r="H98" s="84"/>
      <c r="I98" s="84"/>
      <c r="J98" s="84"/>
      <c r="K98" s="84"/>
      <c r="L98" s="46"/>
      <c r="M98" s="46"/>
      <c r="N98" s="46"/>
      <c r="O98" s="46"/>
      <c r="P98" s="46"/>
      <c r="Q98" s="46"/>
      <c r="R98" s="46"/>
      <c r="S98" s="46"/>
      <c r="T98" s="46"/>
    </row>
    <row r="99" ht="13.65" customHeight="1">
      <c r="A99" t="s" s="90">
        <v>376</v>
      </c>
      <c r="B99" t="s" s="83">
        <v>30</v>
      </c>
      <c r="C99" s="91">
        <v>2.13</v>
      </c>
      <c r="D99" s="91">
        <v>-0.11</v>
      </c>
      <c r="E99" s="91" cm="1">
        <f t="array" ref="E99">E98*(1+C99/100)</f>
        <v>241.292717427526</v>
      </c>
      <c r="F99" s="91" cm="1">
        <f t="array" ref="F99">F98*(1+D99/100)</f>
        <v>265.967246494792</v>
      </c>
      <c r="G99" t="str" s="92" cm="1">
        <f t="array" ref="G99">IF(C99&gt;D99,"Yes","No")</f>
        <v>Yes</v>
      </c>
      <c r="H99" s="84"/>
      <c r="I99" s="84"/>
      <c r="J99" s="84"/>
      <c r="K99" s="84"/>
      <c r="L99" s="46"/>
      <c r="M99" s="46"/>
      <c r="N99" s="46"/>
      <c r="O99" s="46"/>
      <c r="P99" s="46"/>
      <c r="Q99" s="46"/>
      <c r="R99" s="46"/>
      <c r="S99" s="46"/>
      <c r="T99" s="46"/>
    </row>
    <row r="100" ht="13.65" customHeight="1">
      <c r="A100" t="s" s="90">
        <v>377</v>
      </c>
      <c r="B100" t="s" s="83">
        <v>30</v>
      </c>
      <c r="C100" s="91">
        <v>4.45</v>
      </c>
      <c r="D100" s="91">
        <v>4.69</v>
      </c>
      <c r="E100" s="91" cm="1">
        <f t="array" ref="E100">E99*(1+C100/100)</f>
        <v>252.030243353051</v>
      </c>
      <c r="F100" s="91" cm="1">
        <f t="array" ref="F100">F99*(1+D100/100)</f>
        <v>278.441110355398</v>
      </c>
      <c r="G100" t="str" s="92" cm="1">
        <f t="array" ref="G100">IF(C100&gt;D100,"Yes","No")</f>
        <v>No</v>
      </c>
      <c r="H100" s="84"/>
      <c r="I100" s="84"/>
      <c r="J100" s="84"/>
      <c r="K100" s="84"/>
      <c r="L100" s="46"/>
      <c r="M100" s="46"/>
      <c r="N100" s="46"/>
      <c r="O100" s="46"/>
      <c r="P100" s="46"/>
      <c r="Q100" s="46"/>
      <c r="R100" s="46"/>
      <c r="S100" s="46"/>
      <c r="T100" s="46"/>
    </row>
    <row r="101" ht="13.65" customHeight="1">
      <c r="A101" t="s" s="90">
        <v>378</v>
      </c>
      <c r="B101" t="s" s="83">
        <v>34</v>
      </c>
      <c r="C101" s="91">
        <v>7.82</v>
      </c>
      <c r="D101" s="91">
        <v>4.63</v>
      </c>
      <c r="E101" s="91" cm="1">
        <f t="array" ref="E101">E100*(1+C101/100)</f>
        <v>271.739008383260</v>
      </c>
      <c r="F101" s="91" cm="1">
        <f t="array" ref="F101">F100*(1+D101/100)</f>
        <v>291.332933764853</v>
      </c>
      <c r="G101" t="str" s="92" cm="1">
        <f t="array" ref="G101">IF(C101&gt;D101,"Yes","No")</f>
        <v>Yes</v>
      </c>
      <c r="H101" s="84"/>
      <c r="I101" s="84"/>
      <c r="J101" s="84"/>
      <c r="K101" s="84"/>
      <c r="L101" s="46"/>
      <c r="M101" s="46"/>
      <c r="N101" s="46"/>
      <c r="O101" s="46"/>
      <c r="P101" s="46"/>
      <c r="Q101" s="46"/>
      <c r="R101" s="46"/>
      <c r="S101" s="46"/>
      <c r="T101" s="46"/>
    </row>
    <row r="102" ht="13.65" customHeight="1">
      <c r="A102" t="s" s="90">
        <v>379</v>
      </c>
      <c r="B102" t="s" s="83">
        <v>34</v>
      </c>
      <c r="C102" s="91">
        <v>4.71</v>
      </c>
      <c r="D102" s="91">
        <v>3.82</v>
      </c>
      <c r="E102" s="91" cm="1">
        <f t="array" ref="E102">E101*(1+C102/100)</f>
        <v>284.537915678112</v>
      </c>
      <c r="F102" s="91" cm="1">
        <f t="array" ref="F102">F101*(1+D102/100)</f>
        <v>302.461851834670</v>
      </c>
      <c r="G102" t="str" s="92" cm="1">
        <f t="array" ref="G102">IF(C102&gt;D102,"Yes","No")</f>
        <v>Yes</v>
      </c>
      <c r="H102" s="84"/>
      <c r="I102" s="84"/>
      <c r="J102" s="84"/>
      <c r="K102" s="84"/>
      <c r="L102" s="46"/>
      <c r="M102" s="46"/>
      <c r="N102" s="46"/>
      <c r="O102" s="46"/>
      <c r="P102" s="46"/>
      <c r="Q102" s="46"/>
      <c r="R102" s="46"/>
      <c r="S102" s="46"/>
      <c r="T102" s="46"/>
    </row>
    <row r="103" ht="13.65" customHeight="1">
      <c r="A103" t="s" s="90">
        <v>380</v>
      </c>
      <c r="B103" t="s" s="83">
        <v>38</v>
      </c>
      <c r="C103" s="91">
        <v>9.74</v>
      </c>
      <c r="D103" s="91">
        <v>2.84</v>
      </c>
      <c r="E103" s="91" cm="1">
        <f t="array" ref="E103">E102*(1+C103/100)</f>
        <v>312.251908665160</v>
      </c>
      <c r="F103" s="91" cm="1">
        <f t="array" ref="F103">F102*(1+D103/100)</f>
        <v>311.051768426775</v>
      </c>
      <c r="G103" t="str" s="92" cm="1">
        <f t="array" ref="G103">IF(C103&gt;D103,"Yes","No")</f>
        <v>Yes</v>
      </c>
      <c r="H103" s="84"/>
      <c r="I103" s="84"/>
      <c r="J103" s="84"/>
      <c r="K103" s="84"/>
      <c r="L103" s="46"/>
      <c r="M103" s="46"/>
      <c r="N103" s="46"/>
      <c r="O103" s="46"/>
      <c r="P103" s="46"/>
      <c r="Q103" s="46"/>
      <c r="R103" s="46"/>
      <c r="S103" s="46"/>
      <c r="T103" s="46"/>
    </row>
    <row r="104" ht="13.65" customHeight="1">
      <c r="A104" t="s" s="90">
        <v>381</v>
      </c>
      <c r="B104" t="s" s="83">
        <v>38</v>
      </c>
      <c r="C104" s="91">
        <v>2.65</v>
      </c>
      <c r="D104" s="91">
        <v>-0.67</v>
      </c>
      <c r="E104" s="91" cm="1">
        <f t="array" ref="E104">E103*(1+C104/100)</f>
        <v>320.526584244787</v>
      </c>
      <c r="F104" s="91" cm="1">
        <f t="array" ref="F104">F103*(1+D104/100)</f>
        <v>308.967721578316</v>
      </c>
      <c r="G104" t="str" s="92" cm="1">
        <f t="array" ref="G104">IF(C104&gt;D104,"Yes","No")</f>
        <v>Yes</v>
      </c>
      <c r="H104" s="84"/>
      <c r="I104" s="84"/>
      <c r="J104" s="84"/>
      <c r="K104" s="84"/>
      <c r="L104" s="46"/>
      <c r="M104" s="46"/>
      <c r="N104" s="46"/>
      <c r="O104" s="46"/>
      <c r="P104" s="46"/>
      <c r="Q104" s="46"/>
      <c r="R104" s="46"/>
      <c r="S104" s="46"/>
      <c r="T104" s="46"/>
    </row>
    <row r="105" ht="13.65" customHeight="1">
      <c r="A105" t="s" s="90">
        <v>382</v>
      </c>
      <c r="B105" t="s" s="83">
        <v>41</v>
      </c>
      <c r="C105" s="91">
        <v>2.35</v>
      </c>
      <c r="D105" s="91">
        <v>2.21</v>
      </c>
      <c r="E105" s="91" cm="1">
        <f t="array" ref="E105">E104*(1+C105/100)</f>
        <v>328.058958974539</v>
      </c>
      <c r="F105" s="91" cm="1">
        <f t="array" ref="F105">F104*(1+D105/100)</f>
        <v>315.795908225197</v>
      </c>
      <c r="G105" t="str" s="92" cm="1">
        <f t="array" ref="G105">IF(C105&gt;D105,"Yes","No")</f>
        <v>Yes</v>
      </c>
      <c r="H105" s="84"/>
      <c r="I105" s="84"/>
      <c r="J105" s="84"/>
      <c r="K105" s="84"/>
      <c r="L105" s="46"/>
      <c r="M105" s="46"/>
      <c r="N105" s="46"/>
      <c r="O105" s="46"/>
      <c r="P105" s="46"/>
      <c r="Q105" s="46"/>
      <c r="R105" s="46"/>
      <c r="S105" s="46"/>
      <c r="T105" s="46"/>
    </row>
    <row r="106" ht="13.65" customHeight="1">
      <c r="A106" t="s" s="90">
        <v>383</v>
      </c>
      <c r="B106" t="s" s="83">
        <v>34</v>
      </c>
      <c r="C106" s="91">
        <v>-1.31</v>
      </c>
      <c r="D106" s="91">
        <v>-2.61</v>
      </c>
      <c r="E106" s="91" cm="1">
        <f t="array" ref="E106">E105*(1+C106/100)</f>
        <v>323.761386611973</v>
      </c>
      <c r="F106" s="91" cm="1">
        <f t="array" ref="F106">F105*(1+D106/100)</f>
        <v>307.553635020519</v>
      </c>
      <c r="G106" t="str" s="92" cm="1">
        <f t="array" ref="G106">IF(C106&gt;D106,"Yes","No")</f>
        <v>Yes</v>
      </c>
      <c r="H106" s="84"/>
      <c r="I106" s="84"/>
      <c r="J106" s="84"/>
      <c r="K106" s="84"/>
      <c r="L106" s="46"/>
      <c r="M106" s="46"/>
      <c r="N106" s="46"/>
      <c r="O106" s="46"/>
      <c r="P106" s="46"/>
      <c r="Q106" s="46"/>
      <c r="R106" s="46"/>
      <c r="S106" s="46"/>
      <c r="T106" s="46"/>
    </row>
    <row r="107" ht="13.65" customHeight="1">
      <c r="A107" t="s" s="90">
        <v>384</v>
      </c>
      <c r="B107" t="s" s="83">
        <v>30</v>
      </c>
      <c r="C107" s="91">
        <v>3.47</v>
      </c>
      <c r="D107" s="91">
        <v>7.41</v>
      </c>
      <c r="E107" s="91" cm="1">
        <f t="array" ref="E107">E106*(1+C107/100)</f>
        <v>334.995906727408</v>
      </c>
      <c r="F107" s="91" cm="1">
        <f t="array" ref="F107">F106*(1+D107/100)</f>
        <v>330.343359375539</v>
      </c>
      <c r="G107" t="str" s="92" cm="1">
        <f t="array" ref="G107">IF(C107&gt;D107,"Yes","No")</f>
        <v>No</v>
      </c>
      <c r="H107" s="84"/>
      <c r="I107" s="84"/>
      <c r="J107" s="84"/>
      <c r="K107" s="84"/>
      <c r="L107" s="46"/>
      <c r="M107" s="46"/>
      <c r="N107" s="46"/>
      <c r="O107" s="46"/>
      <c r="P107" s="46"/>
      <c r="Q107" s="46"/>
      <c r="R107" s="46"/>
      <c r="S107" s="46"/>
      <c r="T107" s="46"/>
    </row>
    <row r="108" ht="13.65" customHeight="1">
      <c r="A108" t="s" s="90">
        <v>385</v>
      </c>
      <c r="B108" t="s" s="83">
        <v>34</v>
      </c>
      <c r="C108" s="91">
        <v>5.7</v>
      </c>
      <c r="D108" s="91">
        <v>6.36</v>
      </c>
      <c r="E108" s="91" cm="1">
        <f t="array" ref="E108">E107*(1+C108/100)</f>
        <v>354.090673410870</v>
      </c>
      <c r="F108" s="91" cm="1">
        <f t="array" ref="F108">F107*(1+D108/100)</f>
        <v>351.353197031823</v>
      </c>
      <c r="G108" t="str" s="92" cm="1">
        <f t="array" ref="G108">IF(C108&gt;D108,"Yes","No")</f>
        <v>No</v>
      </c>
      <c r="H108" s="84"/>
      <c r="I108" s="84"/>
      <c r="J108" s="84"/>
      <c r="K108" s="84"/>
      <c r="L108" s="46"/>
      <c r="M108" s="46"/>
      <c r="N108" s="46"/>
      <c r="O108" s="46"/>
      <c r="P108" s="46"/>
      <c r="Q108" s="46"/>
      <c r="R108" s="46"/>
      <c r="S108" s="46"/>
      <c r="T108" s="46"/>
    </row>
    <row r="109" ht="13.65" customHeight="1">
      <c r="A109" t="s" s="90">
        <v>386</v>
      </c>
      <c r="B109" t="s" s="83">
        <v>41</v>
      </c>
      <c r="C109" s="91">
        <v>4.81</v>
      </c>
      <c r="D109" s="91">
        <v>1.07</v>
      </c>
      <c r="E109" s="91" cm="1">
        <f t="array" ref="E109">E108*(1+C109/100)</f>
        <v>371.122434801933</v>
      </c>
      <c r="F109" s="91" cm="1">
        <f t="array" ref="F109">F108*(1+D109/100)</f>
        <v>355.112676240064</v>
      </c>
      <c r="G109" t="str" s="92" cm="1">
        <f t="array" ref="G109">IF(C109&gt;D109,"Yes","No")</f>
        <v>Yes</v>
      </c>
      <c r="H109" s="84"/>
      <c r="I109" s="84"/>
      <c r="J109" s="84"/>
      <c r="K109" s="84"/>
      <c r="L109" s="46"/>
      <c r="M109" s="46"/>
      <c r="N109" s="46"/>
      <c r="O109" s="46"/>
      <c r="P109" s="46"/>
      <c r="Q109" s="46"/>
      <c r="R109" s="46"/>
      <c r="S109" s="46"/>
      <c r="T109" s="46"/>
    </row>
    <row r="110" ht="13.65" customHeight="1">
      <c r="A110" t="s" s="90">
        <v>387</v>
      </c>
      <c r="B110" t="s" s="83">
        <v>38</v>
      </c>
      <c r="C110" s="91">
        <v>5.76</v>
      </c>
      <c r="D110" s="91">
        <v>2.84</v>
      </c>
      <c r="E110" s="91" cm="1">
        <f t="array" ref="E110">E109*(1+C110/100)</f>
        <v>392.499087046524</v>
      </c>
      <c r="F110" s="91" cm="1">
        <f t="array" ref="F110">F109*(1+D110/100)</f>
        <v>365.197876245282</v>
      </c>
      <c r="G110" t="str" s="92" cm="1">
        <f t="array" ref="G110">IF(C110&gt;D110,"Yes","No")</f>
        <v>Yes</v>
      </c>
      <c r="H110" s="84"/>
      <c r="I110" s="84"/>
      <c r="J110" s="84"/>
      <c r="K110" s="84"/>
      <c r="L110" s="46"/>
      <c r="M110" s="46"/>
      <c r="N110" s="46"/>
      <c r="O110" s="46"/>
      <c r="P110" s="46"/>
      <c r="Q110" s="46"/>
      <c r="R110" s="46"/>
      <c r="S110" s="46"/>
      <c r="T110" s="46"/>
    </row>
    <row r="111" ht="13.65" customHeight="1">
      <c r="A111" t="s" s="90">
        <v>388</v>
      </c>
      <c r="B111" t="s" s="83">
        <v>38</v>
      </c>
      <c r="C111" s="91">
        <v>-0.32</v>
      </c>
      <c r="D111" s="91">
        <v>0.51</v>
      </c>
      <c r="E111" s="91" cm="1">
        <f t="array" ref="E111">E110*(1+C111/100)</f>
        <v>391.243089967975</v>
      </c>
      <c r="F111" s="91" cm="1">
        <f t="array" ref="F111">F110*(1+D111/100)</f>
        <v>367.060385414133</v>
      </c>
      <c r="G111" t="str" s="92" cm="1">
        <f t="array" ref="G111">IF(C111&gt;D111,"Yes","No")</f>
        <v>No</v>
      </c>
      <c r="H111" s="84"/>
      <c r="I111" s="84"/>
      <c r="J111" s="84"/>
      <c r="K111" s="84"/>
      <c r="L111" s="46"/>
      <c r="M111" s="46"/>
      <c r="N111" s="46"/>
      <c r="O111" s="46"/>
      <c r="P111" s="46"/>
      <c r="Q111" s="46"/>
      <c r="R111" s="46"/>
      <c r="S111" s="46"/>
      <c r="T111" s="46"/>
    </row>
    <row r="112" ht="13.65" customHeight="1">
      <c r="A112" t="s" s="90">
        <v>389</v>
      </c>
      <c r="B112" t="s" s="83">
        <v>34</v>
      </c>
      <c r="C112" s="91">
        <v>4.27</v>
      </c>
      <c r="D112" s="91">
        <v>0.7</v>
      </c>
      <c r="E112" s="91" cm="1">
        <f t="array" ref="E112">E111*(1+C112/100)</f>
        <v>407.949169909608</v>
      </c>
      <c r="F112" s="91" cm="1">
        <f t="array" ref="F112">F111*(1+D112/100)</f>
        <v>369.629808112032</v>
      </c>
      <c r="G112" t="str" s="92" cm="1">
        <f t="array" ref="G112">IF(C112&gt;D112,"Yes","No")</f>
        <v>Yes</v>
      </c>
      <c r="H112" s="84"/>
      <c r="I112" s="84"/>
      <c r="J112" s="84"/>
      <c r="K112" s="84"/>
      <c r="L112" s="46"/>
      <c r="M112" s="46"/>
      <c r="N112" s="46"/>
      <c r="O112" s="46"/>
      <c r="P112" s="46"/>
      <c r="Q112" s="46"/>
      <c r="R112" s="46"/>
      <c r="S112" s="46"/>
      <c r="T112" s="46"/>
    </row>
    <row r="113" ht="13.65" customHeight="1">
      <c r="A113" t="s" s="90">
        <v>390</v>
      </c>
      <c r="B113" t="s" s="83">
        <v>21</v>
      </c>
      <c r="C113" s="91">
        <v>1.05</v>
      </c>
      <c r="D113" s="91">
        <v>1.33</v>
      </c>
      <c r="E113" s="91" cm="1">
        <f t="array" ref="E113">E112*(1+C113/100)</f>
        <v>412.232636193659</v>
      </c>
      <c r="F113" s="91" cm="1">
        <f t="array" ref="F113">F112*(1+D113/100)</f>
        <v>374.545884559922</v>
      </c>
      <c r="G113" t="str" s="92" cm="1">
        <f t="array" ref="G113">IF(C113&gt;D113,"Yes","No")</f>
        <v>No</v>
      </c>
      <c r="H113" s="84"/>
      <c r="I113" s="84"/>
      <c r="J113" s="84"/>
      <c r="K113" s="84"/>
      <c r="L113" s="46"/>
      <c r="M113" s="46"/>
      <c r="N113" s="46"/>
      <c r="O113" s="46"/>
      <c r="P113" s="46"/>
      <c r="Q113" s="46"/>
      <c r="R113" s="46"/>
      <c r="S113" s="46"/>
      <c r="T113" s="46"/>
    </row>
    <row r="114" ht="13.65" customHeight="1">
      <c r="A114" t="s" s="90">
        <v>391</v>
      </c>
      <c r="B114" t="s" s="83">
        <v>34</v>
      </c>
      <c r="C114" s="91">
        <v>4.9</v>
      </c>
      <c r="D114" s="91">
        <v>7.27</v>
      </c>
      <c r="E114" s="91" cm="1">
        <f t="array" ref="E114">E113*(1+C114/100)</f>
        <v>432.432035367148</v>
      </c>
      <c r="F114" s="91" cm="1">
        <f t="array" ref="F114">F113*(1+D114/100)</f>
        <v>401.775370367428</v>
      </c>
      <c r="G114" t="str" s="92" cm="1">
        <f t="array" ref="G114">IF(C114&gt;D114,"Yes","No")</f>
        <v>No</v>
      </c>
      <c r="H114" s="84"/>
      <c r="I114" s="84"/>
      <c r="J114" s="84"/>
      <c r="K114" s="84"/>
      <c r="L114" s="46"/>
      <c r="M114" s="46"/>
      <c r="N114" s="46"/>
      <c r="O114" s="46"/>
      <c r="P114" s="46"/>
      <c r="Q114" s="46"/>
      <c r="R114" s="46"/>
      <c r="S114" s="46"/>
      <c r="T114" s="46"/>
    </row>
    <row r="115" ht="13.65" customHeight="1">
      <c r="A115" t="s" s="90">
        <v>392</v>
      </c>
      <c r="B115" t="s" s="83">
        <v>41</v>
      </c>
      <c r="C115" s="91">
        <v>11.48</v>
      </c>
      <c r="D115" s="91">
        <v>6.05</v>
      </c>
      <c r="E115" s="91" cm="1">
        <f t="array" ref="E115">E114*(1+C115/100)</f>
        <v>482.075233027297</v>
      </c>
      <c r="F115" s="91" cm="1">
        <f t="array" ref="F115">F114*(1+D115/100)</f>
        <v>426.082780274657</v>
      </c>
      <c r="G115" t="str" s="92" cm="1">
        <f t="array" ref="G115">IF(C115&gt;D115,"Yes","No")</f>
        <v>Yes</v>
      </c>
      <c r="H115" s="84"/>
      <c r="I115" s="84"/>
      <c r="J115" s="84"/>
      <c r="K115" s="84"/>
      <c r="L115" s="46"/>
      <c r="M115" s="46"/>
      <c r="N115" s="46"/>
      <c r="O115" s="46"/>
      <c r="P115" s="46"/>
      <c r="Q115" s="46"/>
      <c r="R115" s="46"/>
      <c r="S115" s="46"/>
      <c r="T115" s="46"/>
    </row>
    <row r="116" ht="13.65" customHeight="1">
      <c r="A116" t="s" s="90">
        <v>393</v>
      </c>
      <c r="B116" t="s" s="83">
        <v>38</v>
      </c>
      <c r="C116" s="91">
        <v>7.89</v>
      </c>
      <c r="D116" s="91">
        <v>2.93</v>
      </c>
      <c r="E116" s="91" cm="1">
        <f t="array" ref="E116">E115*(1+C116/100)</f>
        <v>520.1109689131511</v>
      </c>
      <c r="F116" s="91" cm="1">
        <f t="array" ref="F116">F115*(1+D116/100)</f>
        <v>438.567005736704</v>
      </c>
      <c r="G116" t="str" s="92" cm="1">
        <f t="array" ref="G116">IF(C116&gt;D116,"Yes","No")</f>
        <v>Yes</v>
      </c>
      <c r="H116" s="84"/>
      <c r="I116" s="84"/>
      <c r="J116" s="84"/>
      <c r="K116" s="84"/>
      <c r="L116" s="46"/>
      <c r="M116" s="46"/>
      <c r="N116" s="46"/>
      <c r="O116" s="46"/>
      <c r="P116" s="46"/>
      <c r="Q116" s="46"/>
      <c r="R116" s="46"/>
      <c r="S116" s="46"/>
      <c r="T116" s="46"/>
    </row>
    <row r="117" ht="13.65" customHeight="1">
      <c r="A117" t="s" s="90">
        <v>394</v>
      </c>
      <c r="B117" t="s" s="83">
        <v>38</v>
      </c>
      <c r="C117" s="91">
        <v>1.26</v>
      </c>
      <c r="D117" s="91">
        <v>2.86</v>
      </c>
      <c r="E117" s="91" cm="1">
        <f t="array" ref="E117">E116*(1+C117/100)</f>
        <v>526.664367121457</v>
      </c>
      <c r="F117" s="91" cm="1">
        <f t="array" ref="F117">F116*(1+D117/100)</f>
        <v>451.110022100774</v>
      </c>
      <c r="G117" t="str" s="92" cm="1">
        <f t="array" ref="G117">IF(C117&gt;D117,"Yes","No")</f>
        <v>No</v>
      </c>
      <c r="H117" s="84"/>
      <c r="I117" s="84"/>
      <c r="J117" s="84"/>
      <c r="K117" s="84"/>
      <c r="L117" s="46"/>
      <c r="M117" s="46"/>
      <c r="N117" s="46"/>
      <c r="O117" s="46"/>
      <c r="P117" s="46"/>
      <c r="Q117" s="46"/>
      <c r="R117" s="46"/>
      <c r="S117" s="46"/>
      <c r="T117" s="46"/>
    </row>
    <row r="118" ht="13.65" customHeight="1">
      <c r="A118" t="s" s="90">
        <v>395</v>
      </c>
      <c r="B118" t="s" s="83">
        <v>34</v>
      </c>
      <c r="C118" s="91">
        <v>-12.69</v>
      </c>
      <c r="D118" s="91">
        <v>-5.79</v>
      </c>
      <c r="E118" s="91" cm="1">
        <f t="array" ref="E118">E117*(1+C118/100)</f>
        <v>459.830658933744</v>
      </c>
      <c r="F118" s="91" cm="1">
        <f t="array" ref="F118">F117*(1+D118/100)</f>
        <v>424.990751821139</v>
      </c>
      <c r="G118" t="str" s="92" cm="1">
        <f t="array" ref="G118">IF(C118&gt;D118,"Yes","No")</f>
        <v>No</v>
      </c>
      <c r="H118" s="84"/>
      <c r="I118" s="84"/>
      <c r="J118" s="84"/>
      <c r="K118" s="84"/>
      <c r="L118" s="46"/>
      <c r="M118" s="46"/>
      <c r="N118" s="46"/>
      <c r="O118" s="46"/>
      <c r="P118" s="46"/>
      <c r="Q118" s="46"/>
      <c r="R118" s="46"/>
      <c r="S118" s="46"/>
      <c r="T118" s="46"/>
    </row>
    <row r="119" ht="13.65" customHeight="1">
      <c r="A119" t="s" s="90">
        <v>396</v>
      </c>
      <c r="B119" t="s" s="83">
        <v>21</v>
      </c>
      <c r="C119" s="91">
        <v>1.32</v>
      </c>
      <c r="D119" s="91">
        <v>-0.04</v>
      </c>
      <c r="E119" s="91" cm="1">
        <f t="array" ref="E119">E118*(1+C119/100)</f>
        <v>465.900423631669</v>
      </c>
      <c r="F119" s="91" cm="1">
        <f t="array" ref="F119">F118*(1+D119/100)</f>
        <v>424.820755520411</v>
      </c>
      <c r="G119" t="str" s="92" cm="1">
        <f t="array" ref="G119">IF(C119&gt;D119,"Yes","No")</f>
        <v>Yes</v>
      </c>
      <c r="H119" s="84"/>
      <c r="I119" s="84"/>
      <c r="J119" s="84"/>
      <c r="K119" s="84"/>
      <c r="L119" s="46"/>
      <c r="M119" s="46"/>
      <c r="N119" s="46"/>
      <c r="O119" s="46"/>
      <c r="P119" s="46"/>
      <c r="Q119" s="46"/>
      <c r="R119" s="46"/>
      <c r="S119" s="46"/>
      <c r="T119" s="46"/>
    </row>
    <row r="120" ht="13.65" customHeight="1">
      <c r="A120" t="s" s="90">
        <v>397</v>
      </c>
      <c r="B120" t="s" s="83">
        <v>41</v>
      </c>
      <c r="C120" s="91">
        <v>0.99</v>
      </c>
      <c r="D120" s="91">
        <v>-0.24</v>
      </c>
      <c r="E120" s="91" cm="1">
        <f t="array" ref="E120">E119*(1+C120/100)</f>
        <v>470.512837825623</v>
      </c>
      <c r="F120" s="91" cm="1">
        <f t="array" ref="F120">F119*(1+D120/100)</f>
        <v>423.801185707162</v>
      </c>
      <c r="G120" t="str" s="92" cm="1">
        <f t="array" ref="G120">IF(C120&gt;D120,"Yes","No")</f>
        <v>Yes</v>
      </c>
      <c r="H120" s="84"/>
      <c r="I120" s="84"/>
      <c r="J120" s="84"/>
      <c r="K120" s="84"/>
      <c r="L120" s="46"/>
      <c r="M120" s="46"/>
      <c r="N120" s="46"/>
      <c r="O120" s="46"/>
      <c r="P120" s="46"/>
      <c r="Q120" s="46"/>
      <c r="R120" s="46"/>
      <c r="S120" s="46"/>
      <c r="T120" s="46"/>
    </row>
    <row r="121" ht="13.65" customHeight="1">
      <c r="A121" t="s" s="90">
        <v>398</v>
      </c>
      <c r="B121" t="s" s="83">
        <v>38</v>
      </c>
      <c r="C121" s="91">
        <v>-8.6</v>
      </c>
      <c r="D121" s="91">
        <v>-0.38</v>
      </c>
      <c r="E121" s="91" cm="1">
        <f t="array" ref="E121">E120*(1+C121/100)</f>
        <v>430.048733772619</v>
      </c>
      <c r="F121" s="91" cm="1">
        <f t="array" ref="F121">F120*(1+D121/100)</f>
        <v>422.190741201475</v>
      </c>
      <c r="G121" t="str" s="92" cm="1">
        <f t="array" ref="G121">IF(C121&gt;D121,"Yes","No")</f>
        <v>No</v>
      </c>
      <c r="H121" s="84"/>
      <c r="I121" s="84"/>
      <c r="J121" s="84"/>
      <c r="K121" s="84"/>
      <c r="L121" s="46"/>
      <c r="M121" s="46"/>
      <c r="N121" s="46"/>
      <c r="O121" s="46"/>
      <c r="P121" s="46"/>
      <c r="Q121" s="46"/>
      <c r="R121" s="46"/>
      <c r="S121" s="46"/>
      <c r="T121" s="46"/>
    </row>
    <row r="122" ht="13.65" customHeight="1">
      <c r="A122" t="s" s="90">
        <v>399</v>
      </c>
      <c r="B122" t="s" s="83">
        <v>30</v>
      </c>
      <c r="C122" s="91">
        <v>-8.720000000000001</v>
      </c>
      <c r="D122" s="91">
        <v>-7.55</v>
      </c>
      <c r="E122" s="91" cm="1">
        <f t="array" ref="E122">E121*(1+C122/100)</f>
        <v>392.548484187647</v>
      </c>
      <c r="F122" s="91" cm="1">
        <f t="array" ref="F122">F121*(1+D122/100)</f>
        <v>390.315340240764</v>
      </c>
      <c r="G122" t="str" s="92" cm="1">
        <f t="array" ref="G122">IF(C122&gt;D122,"Yes","No")</f>
        <v>No</v>
      </c>
      <c r="H122" s="84"/>
      <c r="I122" s="84"/>
      <c r="J122" s="84"/>
      <c r="K122" s="84"/>
      <c r="L122" s="46"/>
      <c r="M122" s="46"/>
      <c r="N122" s="46"/>
      <c r="O122" s="46"/>
      <c r="P122" s="46"/>
      <c r="Q122" s="46"/>
      <c r="R122" s="46"/>
      <c r="S122" s="46"/>
      <c r="T122" s="46"/>
    </row>
    <row r="123" ht="13.65" customHeight="1">
      <c r="A123" t="s" s="90">
        <v>400</v>
      </c>
      <c r="B123" t="s" s="83">
        <v>21</v>
      </c>
      <c r="C123" s="91">
        <v>10.47</v>
      </c>
      <c r="D123" s="91">
        <v>3.92</v>
      </c>
      <c r="E123" s="91" cm="1">
        <f t="array" ref="E123">E122*(1+C123/100)</f>
        <v>433.648310482094</v>
      </c>
      <c r="F123" s="91" cm="1">
        <f t="array" ref="F123">F122*(1+D123/100)</f>
        <v>405.615701578202</v>
      </c>
      <c r="G123" t="str" s="92" cm="1">
        <f t="array" ref="G123">IF(C123&gt;D123,"Yes","No")</f>
        <v>Yes</v>
      </c>
      <c r="H123" s="84"/>
      <c r="I123" s="84"/>
      <c r="J123" s="84"/>
      <c r="K123" s="84"/>
      <c r="L123" s="46"/>
      <c r="M123" s="46"/>
      <c r="N123" s="46"/>
      <c r="O123" s="46"/>
      <c r="P123" s="46"/>
      <c r="Q123" s="46"/>
      <c r="R123" s="46"/>
      <c r="S123" s="46"/>
      <c r="T123" s="46"/>
    </row>
    <row r="124" ht="13.65" customHeight="1">
      <c r="A124" t="s" s="90">
        <v>401</v>
      </c>
      <c r="B124" t="s" s="83">
        <v>21</v>
      </c>
      <c r="C124" s="91">
        <v>4.59</v>
      </c>
      <c r="D124" s="91">
        <v>3.33</v>
      </c>
      <c r="E124" s="91" cm="1">
        <f t="array" ref="E124">E123*(1+C124/100)</f>
        <v>453.552767933222</v>
      </c>
      <c r="F124" s="91" cm="1">
        <f t="array" ref="F124">F123*(1+D124/100)</f>
        <v>419.122704440756</v>
      </c>
      <c r="G124" t="str" s="92" cm="1">
        <f t="array" ref="G124">IF(C124&gt;D124,"Yes","No")</f>
        <v>Yes</v>
      </c>
      <c r="H124" s="84"/>
      <c r="I124" s="84"/>
      <c r="J124" s="84"/>
      <c r="K124" s="84"/>
      <c r="L124" s="46"/>
      <c r="M124" s="46"/>
      <c r="N124" s="46"/>
      <c r="O124" s="46"/>
      <c r="P124" s="46"/>
      <c r="Q124" s="46"/>
      <c r="R124" s="46"/>
      <c r="S124" s="46"/>
      <c r="T124" s="46"/>
    </row>
    <row r="125" ht="13.65" customHeight="1">
      <c r="A125" t="s" s="90">
        <v>402</v>
      </c>
      <c r="B125" t="s" s="83">
        <v>21</v>
      </c>
      <c r="C125" s="91">
        <v>0.39</v>
      </c>
      <c r="D125" s="91">
        <v>1.3</v>
      </c>
      <c r="E125" s="91" cm="1">
        <f t="array" ref="E125">E124*(1+C125/100)</f>
        <v>455.321623728162</v>
      </c>
      <c r="F125" s="91" cm="1">
        <f t="array" ref="F125">F124*(1+D125/100)</f>
        <v>424.571299598486</v>
      </c>
      <c r="G125" t="str" s="92" cm="1">
        <f t="array" ref="G125">IF(C125&gt;D125,"Yes","No")</f>
        <v>No</v>
      </c>
      <c r="H125" s="84"/>
      <c r="I125" s="84"/>
      <c r="J125" s="84"/>
      <c r="K125" s="84"/>
      <c r="L125" s="46"/>
      <c r="M125" s="46"/>
      <c r="N125" s="46"/>
      <c r="O125" s="46"/>
      <c r="P125" s="46"/>
      <c r="Q125" s="46"/>
      <c r="R125" s="46"/>
      <c r="S125" s="46"/>
      <c r="T125" s="46"/>
    </row>
    <row r="126" ht="13.65" customHeight="1">
      <c r="A126" t="s" s="90">
        <v>403</v>
      </c>
      <c r="B126" t="s" s="83">
        <v>34</v>
      </c>
      <c r="C126" s="91">
        <v>2.35</v>
      </c>
      <c r="D126" s="91">
        <v>2.44</v>
      </c>
      <c r="E126" s="91" cm="1">
        <f t="array" ref="E126">E125*(1+C126/100)</f>
        <v>466.021681885774</v>
      </c>
      <c r="F126" s="91" cm="1">
        <f t="array" ref="F126">F125*(1+D126/100)</f>
        <v>434.930839308689</v>
      </c>
      <c r="G126" t="str" s="92" cm="1">
        <f t="array" ref="G126">IF(C126&gt;D126,"Yes","No")</f>
        <v>No</v>
      </c>
      <c r="H126" s="84"/>
      <c r="I126" s="84"/>
      <c r="J126" s="84"/>
      <c r="K126" s="84"/>
      <c r="L126" s="46"/>
      <c r="M126" s="46"/>
      <c r="N126" s="46"/>
      <c r="O126" s="46"/>
      <c r="P126" s="46"/>
      <c r="Q126" s="46"/>
      <c r="R126" s="46"/>
      <c r="S126" s="46"/>
      <c r="T126" s="46"/>
    </row>
    <row r="127" ht="13.65" customHeight="1">
      <c r="A127" t="s" s="90">
        <v>404</v>
      </c>
      <c r="B127" t="s" s="83">
        <v>41</v>
      </c>
      <c r="C127" s="91">
        <v>-9.75</v>
      </c>
      <c r="D127" s="91">
        <v>-2.36</v>
      </c>
      <c r="E127" s="91" cm="1">
        <f t="array" ref="E127">E126*(1+C127/100)</f>
        <v>420.584567901911</v>
      </c>
      <c r="F127" s="91" cm="1">
        <f t="array" ref="F127">F126*(1+D127/100)</f>
        <v>424.666471501004</v>
      </c>
      <c r="G127" t="str" s="92" cm="1">
        <f t="array" ref="G127">IF(C127&gt;D127,"Yes","No")</f>
        <v>No</v>
      </c>
      <c r="H127" s="84"/>
      <c r="I127" s="84"/>
      <c r="J127" s="84"/>
      <c r="K127" s="84"/>
      <c r="L127" s="46"/>
      <c r="M127" s="46"/>
      <c r="N127" s="46"/>
      <c r="O127" s="46"/>
      <c r="P127" s="46"/>
      <c r="Q127" s="46"/>
      <c r="R127" s="46"/>
      <c r="S127" s="46"/>
      <c r="T127" s="46"/>
    </row>
    <row r="128" ht="13.65" customHeight="1">
      <c r="A128" t="s" s="90">
        <v>405</v>
      </c>
      <c r="B128" t="s" s="83">
        <v>30</v>
      </c>
      <c r="C128" s="91">
        <v>1.77</v>
      </c>
      <c r="D128" s="91">
        <v>1.6</v>
      </c>
      <c r="E128" s="91" cm="1">
        <f t="array" ref="E128">E127*(1+C128/100)</f>
        <v>428.028914753775</v>
      </c>
      <c r="F128" s="91" cm="1">
        <f t="array" ref="F128">F127*(1+D128/100)</f>
        <v>431.461135045020</v>
      </c>
      <c r="G128" t="str" s="92" cm="1">
        <f t="array" ref="G128">IF(C128&gt;D128,"Yes","No")</f>
        <v>Yes</v>
      </c>
      <c r="H128" s="84"/>
      <c r="I128" s="84"/>
      <c r="J128" s="84"/>
      <c r="K128" s="84"/>
      <c r="L128" s="46"/>
      <c r="M128" s="46"/>
      <c r="N128" s="46"/>
      <c r="O128" s="46"/>
      <c r="P128" s="46"/>
      <c r="Q128" s="46"/>
      <c r="R128" s="46"/>
      <c r="S128" s="46"/>
      <c r="T128" s="46"/>
    </row>
    <row r="129" ht="13.65" customHeight="1">
      <c r="A129" t="s" s="90">
        <v>406</v>
      </c>
      <c r="B129" t="s" s="83">
        <v>34</v>
      </c>
      <c r="C129" s="91">
        <v>7.73</v>
      </c>
      <c r="D129" s="91">
        <v>0.23</v>
      </c>
      <c r="E129" s="91" cm="1">
        <f t="array" ref="E129">E128*(1+C129/100)</f>
        <v>461.115549864242</v>
      </c>
      <c r="F129" s="91" cm="1">
        <f t="array" ref="F129">F128*(1+D129/100)</f>
        <v>432.453495655624</v>
      </c>
      <c r="G129" t="str" s="92" cm="1">
        <f t="array" ref="G129">IF(C129&gt;D129,"Yes","No")</f>
        <v>Yes</v>
      </c>
      <c r="H129" s="84"/>
      <c r="I129" s="84"/>
      <c r="J129" s="84"/>
      <c r="K129" s="84"/>
      <c r="L129" s="46"/>
      <c r="M129" s="46"/>
      <c r="N129" s="46"/>
      <c r="O129" s="46"/>
      <c r="P129" s="46"/>
      <c r="Q129" s="46"/>
      <c r="R129" s="46"/>
      <c r="S129" s="46"/>
      <c r="T129" s="46"/>
    </row>
    <row r="130" ht="13.65" customHeight="1">
      <c r="A130" t="s" s="90">
        <v>407</v>
      </c>
      <c r="B130" t="s" s="83">
        <v>34</v>
      </c>
      <c r="C130" s="91">
        <v>1.35</v>
      </c>
      <c r="D130" s="91">
        <v>3.7</v>
      </c>
      <c r="E130" s="91" cm="1">
        <f t="array" ref="E130">E129*(1+C130/100)</f>
        <v>467.340609787409</v>
      </c>
      <c r="F130" s="91" cm="1">
        <f t="array" ref="F130">F129*(1+D130/100)</f>
        <v>448.454274994882</v>
      </c>
      <c r="G130" t="str" s="92" cm="1">
        <f t="array" ref="G130">IF(C130&gt;D130,"Yes","No")</f>
        <v>No</v>
      </c>
      <c r="H130" s="84"/>
      <c r="I130" s="84"/>
      <c r="J130" s="84"/>
      <c r="K130" s="84"/>
      <c r="L130" s="46"/>
      <c r="M130" s="46"/>
      <c r="N130" s="46"/>
      <c r="O130" s="46"/>
      <c r="P130" s="46"/>
      <c r="Q130" s="46"/>
      <c r="R130" s="46"/>
      <c r="S130" s="46"/>
      <c r="T130" s="46"/>
    </row>
    <row r="131" ht="13.65" customHeight="1">
      <c r="A131" t="s" s="90">
        <v>408</v>
      </c>
      <c r="B131" t="s" s="83">
        <v>41</v>
      </c>
      <c r="C131" s="91">
        <v>4.72</v>
      </c>
      <c r="D131" s="91">
        <v>3.16</v>
      </c>
      <c r="E131" s="91" cm="1">
        <f t="array" ref="E131">E130*(1+C131/100)</f>
        <v>489.399086569375</v>
      </c>
      <c r="F131" s="91" cm="1">
        <f t="array" ref="F131">F130*(1+D131/100)</f>
        <v>462.625430084720</v>
      </c>
      <c r="G131" t="str" s="92" cm="1">
        <f t="array" ref="G131">IF(C131&gt;D131,"Yes","No")</f>
        <v>Yes</v>
      </c>
      <c r="H131" s="84"/>
      <c r="I131" s="84"/>
      <c r="J131" s="84"/>
      <c r="K131" s="84"/>
      <c r="L131" s="46"/>
      <c r="M131" s="46"/>
      <c r="N131" s="46"/>
      <c r="O131" s="46"/>
      <c r="P131" s="46"/>
      <c r="Q131" s="46"/>
      <c r="R131" s="46"/>
      <c r="S131" s="46"/>
      <c r="T131" s="46"/>
    </row>
    <row r="132" ht="13.65" customHeight="1">
      <c r="A132" t="s" s="90">
        <v>409</v>
      </c>
      <c r="B132" t="s" s="83">
        <v>41</v>
      </c>
      <c r="C132" s="91">
        <v>3.22</v>
      </c>
      <c r="D132" s="91">
        <v>0.32</v>
      </c>
      <c r="E132" s="91" cm="1">
        <f t="array" ref="E132">E131*(1+C132/100)</f>
        <v>505.157737156909</v>
      </c>
      <c r="F132" s="91" cm="1">
        <f t="array" ref="F132">F131*(1+D132/100)</f>
        <v>464.105831460991</v>
      </c>
      <c r="G132" t="str" s="92" cm="1">
        <f t="array" ref="G132">IF(C132&gt;D132,"Yes","No")</f>
        <v>Yes</v>
      </c>
      <c r="H132" s="84"/>
      <c r="I132" s="84"/>
      <c r="J132" s="84"/>
      <c r="K132" s="84"/>
      <c r="L132" s="46"/>
      <c r="M132" s="46"/>
      <c r="N132" s="46"/>
      <c r="O132" s="46"/>
      <c r="P132" s="46"/>
      <c r="Q132" s="46"/>
      <c r="R132" s="46"/>
      <c r="S132" s="46"/>
      <c r="T132" s="46"/>
    </row>
    <row r="133" ht="13.65" customHeight="1">
      <c r="A133" t="s" s="90">
        <v>410</v>
      </c>
      <c r="B133" t="s" s="83">
        <v>41</v>
      </c>
      <c r="C133" s="91">
        <v>1.53</v>
      </c>
      <c r="D133" s="91">
        <v>-2.27</v>
      </c>
      <c r="E133" s="91" cm="1">
        <f t="array" ref="E133">E132*(1+C133/100)</f>
        <v>512.886650535410</v>
      </c>
      <c r="F133" s="91" cm="1">
        <f t="array" ref="F133">F132*(1+D133/100)</f>
        <v>453.570629086827</v>
      </c>
      <c r="G133" t="str" s="92" cm="1">
        <f t="array" ref="G133">IF(C133&gt;D133,"Yes","No")</f>
        <v>Yes</v>
      </c>
      <c r="H133" s="84"/>
      <c r="I133" s="84"/>
      <c r="J133" s="84"/>
      <c r="K133" s="84"/>
      <c r="L133" s="46"/>
      <c r="M133" s="46"/>
      <c r="N133" s="46"/>
      <c r="O133" s="46"/>
      <c r="P133" s="46"/>
      <c r="Q133" s="46"/>
      <c r="R133" s="46"/>
      <c r="S133" s="46"/>
      <c r="T133" s="46"/>
    </row>
    <row r="134" ht="13.65" customHeight="1">
      <c r="A134" t="s" s="90">
        <v>411</v>
      </c>
      <c r="B134" t="s" s="83">
        <v>21</v>
      </c>
      <c r="C134" s="91">
        <v>2.33</v>
      </c>
      <c r="D134" s="91">
        <v>-1.09</v>
      </c>
      <c r="E134" s="91" cm="1">
        <f t="array" ref="E134">E133*(1+C134/100)</f>
        <v>524.836909492885</v>
      </c>
      <c r="F134" s="91" cm="1">
        <f t="array" ref="F134">F133*(1+D134/100)</f>
        <v>448.626709229781</v>
      </c>
      <c r="G134" t="str" s="92" cm="1">
        <f t="array" ref="G134">IF(C134&gt;D134,"Yes","No")</f>
        <v>Yes</v>
      </c>
      <c r="H134" s="84"/>
      <c r="I134" s="84"/>
      <c r="J134" s="84"/>
      <c r="K134" s="84"/>
      <c r="L134" s="46"/>
      <c r="M134" s="46"/>
      <c r="N134" s="46"/>
      <c r="O134" s="46"/>
      <c r="P134" s="46"/>
      <c r="Q134" s="46"/>
      <c r="R134" s="46"/>
      <c r="S134" s="46"/>
      <c r="T134" s="46"/>
    </row>
    <row r="135" ht="13.65" customHeight="1">
      <c r="A135" t="s" s="90">
        <v>412</v>
      </c>
      <c r="B135" t="s" s="83">
        <v>38</v>
      </c>
      <c r="C135" s="91">
        <v>-3.47</v>
      </c>
      <c r="D135" s="91">
        <v>-10.04</v>
      </c>
      <c r="E135" s="91" cm="1">
        <f t="array" ref="E135">E134*(1+C135/100)</f>
        <v>506.625068733482</v>
      </c>
      <c r="F135" s="91" cm="1">
        <f t="array" ref="F135">F134*(1+D135/100)</f>
        <v>403.584587623111</v>
      </c>
      <c r="G135" t="str" s="92" cm="1">
        <f t="array" ref="G135">IF(C135&gt;D135,"Yes","No")</f>
        <v>Yes</v>
      </c>
      <c r="H135" s="84"/>
      <c r="I135" s="84"/>
      <c r="J135" s="84"/>
      <c r="K135" s="84"/>
      <c r="L135" s="46"/>
      <c r="M135" s="46"/>
      <c r="N135" s="46"/>
      <c r="O135" s="46"/>
      <c r="P135" s="46"/>
      <c r="Q135" s="46"/>
      <c r="R135" s="46"/>
      <c r="S135" s="46"/>
      <c r="T135" s="46"/>
    </row>
    <row r="136" ht="13.65" customHeight="1">
      <c r="A136" t="s" s="90">
        <v>413</v>
      </c>
      <c r="B136" t="s" s="83">
        <v>41</v>
      </c>
      <c r="C136" s="91">
        <v>0.7</v>
      </c>
      <c r="D136" s="91">
        <v>6.3</v>
      </c>
      <c r="E136" s="91" cm="1">
        <f t="array" ref="E136">E135*(1+C136/100)</f>
        <v>510.171444214616</v>
      </c>
      <c r="F136" s="91" cm="1">
        <f t="array" ref="F136">F135*(1+D136/100)</f>
        <v>429.010416643367</v>
      </c>
      <c r="G136" t="str" s="92" cm="1">
        <f t="array" ref="G136">IF(C136&gt;D136,"Yes","No")</f>
        <v>No</v>
      </c>
      <c r="H136" s="84"/>
      <c r="I136" s="84"/>
      <c r="J136" s="84"/>
      <c r="K136" s="84"/>
      <c r="L136" s="46"/>
      <c r="M136" s="46"/>
      <c r="N136" s="46"/>
      <c r="O136" s="46"/>
      <c r="P136" s="46"/>
      <c r="Q136" s="46"/>
      <c r="R136" s="46"/>
      <c r="S136" s="46"/>
      <c r="T136" s="46"/>
    </row>
    <row r="137" ht="13.65" customHeight="1">
      <c r="A137" t="s" s="90">
        <v>414</v>
      </c>
      <c r="B137" t="s" s="83">
        <v>30</v>
      </c>
      <c r="C137" s="91">
        <v>-4.34</v>
      </c>
      <c r="D137" s="91">
        <v>-1.33</v>
      </c>
      <c r="E137" s="91" cm="1">
        <f t="array" ref="E137">E136*(1+C137/100)</f>
        <v>488.030003535702</v>
      </c>
      <c r="F137" s="91" cm="1">
        <f t="array" ref="F137">F136*(1+D137/100)</f>
        <v>423.304578102010</v>
      </c>
      <c r="G137" t="str" s="92" cm="1">
        <f t="array" ref="G137">IF(C137&gt;D137,"Yes","No")</f>
        <v>No</v>
      </c>
      <c r="H137" s="84"/>
      <c r="I137" s="84"/>
      <c r="J137" s="84"/>
      <c r="K137" s="84"/>
      <c r="L137" s="46"/>
      <c r="M137" s="46"/>
      <c r="N137" s="46"/>
      <c r="O137" s="46"/>
      <c r="P137" s="46"/>
      <c r="Q137" s="46"/>
      <c r="R137" s="46"/>
      <c r="S137" s="46"/>
      <c r="T137" s="46"/>
    </row>
    <row r="138" ht="13.65" customHeight="1">
      <c r="A138" t="s" s="90">
        <v>69</v>
      </c>
      <c r="B138" t="s" s="83">
        <v>38</v>
      </c>
      <c r="C138" s="91">
        <v>3.76</v>
      </c>
      <c r="D138" s="91">
        <v>-0.49</v>
      </c>
      <c r="E138" s="91" cm="1">
        <f t="array" ref="E138">E137*(1+C138/100)</f>
        <v>506.379931668644</v>
      </c>
      <c r="F138" s="91" cm="1">
        <f t="array" ref="F138">F137*(1+D138/100)</f>
        <v>421.230385669310</v>
      </c>
      <c r="G138" t="str" s="92" cm="1">
        <f t="array" ref="G138">IF(C138&gt;D138,"Yes","No")</f>
        <v>Yes</v>
      </c>
      <c r="H138" s="84"/>
      <c r="I138" s="84"/>
      <c r="J138" s="84"/>
      <c r="K138" s="84"/>
      <c r="L138" s="46"/>
      <c r="M138" s="46"/>
      <c r="N138" s="46"/>
      <c r="O138" s="46"/>
      <c r="P138" s="46"/>
      <c r="Q138" s="46"/>
      <c r="R138" s="46"/>
      <c r="S138" s="46"/>
      <c r="T138" s="46"/>
    </row>
    <row r="139" ht="13.65" customHeight="1">
      <c r="A139" t="s" s="90">
        <v>89</v>
      </c>
      <c r="B139" t="s" s="83">
        <v>21</v>
      </c>
      <c r="C139" s="91">
        <v>-2.13</v>
      </c>
      <c r="D139" s="91">
        <v>6.4</v>
      </c>
      <c r="E139" s="91" cm="1">
        <f t="array" ref="E139">E138*(1+C139/100)</f>
        <v>495.594039124102</v>
      </c>
      <c r="F139" s="91" cm="1">
        <f t="array" ref="F139">F138*(1+D139/100)</f>
        <v>448.189130352146</v>
      </c>
      <c r="G139" t="str" s="92" cm="1">
        <f t="array" ref="G139">IF(C139&gt;D139,"Yes","No")</f>
        <v>No</v>
      </c>
      <c r="H139" s="84"/>
      <c r="I139" s="84"/>
      <c r="J139" s="84"/>
      <c r="K139" s="84"/>
      <c r="L139" s="46"/>
      <c r="M139" s="46"/>
      <c r="N139" s="46"/>
      <c r="O139" s="46"/>
      <c r="P139" s="46"/>
      <c r="Q139" s="46"/>
      <c r="R139" s="46"/>
      <c r="S139" s="46"/>
      <c r="T139" s="46"/>
    </row>
    <row r="140" ht="13.65" customHeight="1">
      <c r="A140" t="s" s="90">
        <v>415</v>
      </c>
      <c r="B140" t="s" s="83">
        <v>41</v>
      </c>
      <c r="C140" s="91">
        <v>-0.29</v>
      </c>
      <c r="D140" s="91">
        <v>-0.53</v>
      </c>
      <c r="E140" s="91" cm="1">
        <f t="array" ref="E140">E139*(1+C140/100)</f>
        <v>494.156816410642</v>
      </c>
      <c r="F140" s="91" cm="1">
        <f t="array" ref="F140">F139*(1+D140/100)</f>
        <v>445.813727961280</v>
      </c>
      <c r="G140" t="str" s="92" cm="1">
        <f t="array" ref="G140">IF(C140&gt;D140,"Yes","No")</f>
        <v>Yes</v>
      </c>
      <c r="H140" s="84"/>
      <c r="I140" s="84"/>
      <c r="J140" s="84"/>
      <c r="K140" s="84"/>
      <c r="L140" s="46"/>
      <c r="M140" s="46"/>
      <c r="N140" s="46"/>
      <c r="O140" s="46"/>
      <c r="P140" s="46"/>
      <c r="Q140" s="46"/>
      <c r="R140" s="46"/>
      <c r="S140" s="46"/>
      <c r="T140" s="46"/>
    </row>
    <row r="141" ht="13.65" customHeight="1">
      <c r="A141" t="s" s="90">
        <v>133</v>
      </c>
      <c r="B141" t="s" s="83">
        <v>21</v>
      </c>
      <c r="C141" s="91">
        <v>-4.97</v>
      </c>
      <c r="D141" s="91">
        <v>-6.5</v>
      </c>
      <c r="E141" s="91" cm="1">
        <f t="array" ref="E141">E140*(1+C141/100)</f>
        <v>469.597222635033</v>
      </c>
      <c r="F141" s="91" cm="1">
        <f t="array" ref="F141">F140*(1+D141/100)</f>
        <v>416.835835643797</v>
      </c>
      <c r="G141" t="str" s="92" cm="1">
        <f t="array" ref="G141">IF(C141&gt;D141,"Yes","No")</f>
        <v>Yes</v>
      </c>
      <c r="H141" s="84"/>
      <c r="I141" s="84"/>
      <c r="J141" s="84"/>
      <c r="K141" s="84"/>
      <c r="L141" s="46"/>
      <c r="M141" s="46"/>
      <c r="N141" s="46"/>
      <c r="O141" s="46"/>
      <c r="P141" s="46"/>
      <c r="Q141" s="46"/>
      <c r="R141" s="46"/>
      <c r="S141" s="46"/>
      <c r="T141" s="46"/>
    </row>
    <row r="142" ht="13.65" customHeight="1">
      <c r="A142" t="s" s="90">
        <v>154</v>
      </c>
      <c r="B142" t="s" s="83">
        <v>38</v>
      </c>
      <c r="C142" s="91">
        <v>-1.38</v>
      </c>
      <c r="D142" s="91">
        <v>0.8</v>
      </c>
      <c r="E142" s="91" cm="1">
        <f t="array" ref="E142">E141*(1+C142/100)</f>
        <v>463.116780962670</v>
      </c>
      <c r="F142" s="91" cm="1">
        <f t="array" ref="F142">F141*(1+D142/100)</f>
        <v>420.170522328947</v>
      </c>
      <c r="G142" t="str" s="92" cm="1">
        <f t="array" ref="G142">IF(C142&gt;D142,"Yes","No")</f>
        <v>No</v>
      </c>
      <c r="H142" s="84"/>
      <c r="I142" s="84"/>
      <c r="J142" s="84"/>
      <c r="K142" s="84"/>
      <c r="L142" s="46"/>
      <c r="M142" s="46"/>
      <c r="N142" s="46"/>
      <c r="O142" s="46"/>
      <c r="P142" s="46"/>
      <c r="Q142" s="46"/>
      <c r="R142" s="46"/>
      <c r="S142" s="46"/>
      <c r="T142" s="46"/>
    </row>
  </sheetData>
  <mergeCells count="2">
    <mergeCell ref="J14:N14"/>
    <mergeCell ref="J15:N15"/>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worksheet>
</file>

<file path=xl/worksheets/sheet13.xml><?xml version="1.0" encoding="utf-8"?>
<worksheet xmlns:r="http://schemas.openxmlformats.org/officeDocument/2006/relationships" xmlns="http://schemas.openxmlformats.org/spreadsheetml/2006/main">
  <sheetPr>
    <pageSetUpPr fitToPage="1"/>
  </sheetPr>
  <dimension ref="A1:K36"/>
  <sheetViews>
    <sheetView workbookViewId="0" showGridLines="0" defaultGridColor="1"/>
  </sheetViews>
  <sheetFormatPr defaultColWidth="8.66667" defaultRowHeight="15.4" customHeight="1" outlineLevelRow="0" outlineLevelCol="0"/>
  <cols>
    <col min="1" max="1" width="10" style="96" customWidth="1"/>
    <col min="2" max="2" width="15" style="96" customWidth="1"/>
    <col min="3" max="3" width="19.4766" style="96" customWidth="1"/>
    <col min="4" max="4" width="23.2656" style="96" customWidth="1"/>
    <col min="5" max="5" width="8" style="96" customWidth="1"/>
    <col min="6" max="6" width="16" style="96" customWidth="1"/>
    <col min="7" max="7" width="15" style="96" customWidth="1"/>
    <col min="8" max="8" width="8" style="96" customWidth="1"/>
    <col min="9" max="9" width="16" style="96" customWidth="1"/>
    <col min="10" max="10" width="15" style="96" customWidth="1"/>
    <col min="11" max="11" width="14" style="96" customWidth="1"/>
    <col min="12" max="16384" width="8.67188" style="96" customWidth="1"/>
  </cols>
  <sheetData>
    <row r="1" ht="13.65" customHeight="1">
      <c r="A1" t="s" s="97">
        <v>189</v>
      </c>
      <c r="B1" t="s" s="81">
        <v>417</v>
      </c>
      <c r="C1" t="s" s="81">
        <v>200</v>
      </c>
      <c r="D1" t="s" s="81">
        <v>418</v>
      </c>
      <c r="E1" t="s" s="81">
        <v>419</v>
      </c>
      <c r="F1" t="s" s="81">
        <v>420</v>
      </c>
      <c r="G1" t="s" s="81">
        <v>421</v>
      </c>
      <c r="H1" t="s" s="81">
        <v>422</v>
      </c>
      <c r="I1" t="s" s="81">
        <v>423</v>
      </c>
      <c r="J1" t="s" s="81">
        <v>424</v>
      </c>
      <c r="K1" t="s" s="98">
        <v>425</v>
      </c>
    </row>
    <row r="2" ht="13.65" customHeight="1">
      <c r="A2" t="s" s="86">
        <v>34</v>
      </c>
      <c r="B2" t="s" s="86">
        <v>426</v>
      </c>
      <c r="C2" t="s" s="86">
        <v>427</v>
      </c>
      <c r="D2" t="s" s="86">
        <v>428</v>
      </c>
      <c r="E2" s="99">
        <v>16.7</v>
      </c>
      <c r="F2" s="99">
        <v>23.3</v>
      </c>
      <c r="G2" s="99" cm="1">
        <f t="array" ref="G2">ROUND((E2/F2-1)*100,0)</f>
        <v>-28</v>
      </c>
      <c r="H2" s="99">
        <v>3.36</v>
      </c>
      <c r="I2" s="99">
        <v>4.53</v>
      </c>
      <c r="J2" s="100">
        <v>1.18</v>
      </c>
      <c r="K2" t="str" s="101" cm="1">
        <f t="array" ref="K2">IF(E2&lt;0.8*F2,"Cheap",IF(E2&gt;1.2*F2,"Expensive","Fair"))</f>
        <v>Cheap</v>
      </c>
    </row>
    <row r="3" ht="13.65" customHeight="1">
      <c r="A3" t="s" s="83">
        <v>34</v>
      </c>
      <c r="B3" t="s" s="83">
        <v>430</v>
      </c>
      <c r="C3" t="s" s="83">
        <v>431</v>
      </c>
      <c r="D3" t="s" s="83">
        <v>428</v>
      </c>
      <c r="E3" s="89">
        <v>18</v>
      </c>
      <c r="F3" s="89">
        <v>23.3</v>
      </c>
      <c r="G3" s="89" cm="1">
        <f t="array" ref="G3">ROUND((E3/F3-1)*100,0)</f>
        <v>-23</v>
      </c>
      <c r="H3" s="89">
        <v>4.53</v>
      </c>
      <c r="I3" s="89">
        <v>4.53</v>
      </c>
      <c r="J3" s="102">
        <v>3.81</v>
      </c>
      <c r="K3" t="str" s="101" cm="1">
        <f t="array" ref="K3">IF(E3&lt;0.8*F3,"Cheap",IF(E3&gt;1.2*F3,"Expensive","Fair"))</f>
        <v>Cheap</v>
      </c>
    </row>
    <row r="4" ht="13.65" customHeight="1">
      <c r="A4" t="s" s="83">
        <v>34</v>
      </c>
      <c r="B4" t="s" s="83">
        <v>432</v>
      </c>
      <c r="C4" t="s" s="83">
        <v>433</v>
      </c>
      <c r="D4" t="s" s="83">
        <v>428</v>
      </c>
      <c r="E4" s="89">
        <v>23.3</v>
      </c>
      <c r="F4" s="89">
        <v>23.3</v>
      </c>
      <c r="G4" s="89" cm="1">
        <f t="array" ref="G4">ROUND((E4/F4-1)*100,0)</f>
        <v>0</v>
      </c>
      <c r="H4" s="89">
        <v>7.04</v>
      </c>
      <c r="I4" s="89">
        <v>4.53</v>
      </c>
      <c r="J4" s="102">
        <v>1.56</v>
      </c>
      <c r="K4" t="str" s="103" cm="1">
        <f t="array" ref="K4">IF(E4&lt;0.8*F4,"Cheap",IF(E4&gt;1.2*F4,"Expensive","Fair"))</f>
        <v>Fair</v>
      </c>
    </row>
    <row r="5" ht="13.65" customHeight="1">
      <c r="A5" t="s" s="83">
        <v>34</v>
      </c>
      <c r="B5" t="s" s="83">
        <v>35</v>
      </c>
      <c r="C5" t="s" s="83">
        <v>36</v>
      </c>
      <c r="D5" t="s" s="83">
        <v>428</v>
      </c>
      <c r="E5" s="89">
        <v>25</v>
      </c>
      <c r="F5" s="89">
        <v>23.3</v>
      </c>
      <c r="G5" s="89" cm="1">
        <f t="array" ref="G5">ROUND((E5/F5-1)*100,0)</f>
        <v>7</v>
      </c>
      <c r="H5" s="89">
        <v>3.35</v>
      </c>
      <c r="I5" s="89">
        <v>4.53</v>
      </c>
      <c r="J5" s="102">
        <v>1.22</v>
      </c>
      <c r="K5" t="str" s="103" cm="1">
        <f t="array" ref="K5">IF(E5&lt;0.8*F5,"Cheap",IF(E5&gt;1.2*F5,"Expensive","Fair"))</f>
        <v>Fair</v>
      </c>
    </row>
    <row r="6" ht="13.65" customHeight="1">
      <c r="A6" t="s" s="83">
        <v>34</v>
      </c>
      <c r="B6" t="s" s="83">
        <v>435</v>
      </c>
      <c r="C6" t="s" s="83">
        <v>436</v>
      </c>
      <c r="D6" t="s" s="83">
        <v>428</v>
      </c>
      <c r="E6" s="89">
        <v>33.5</v>
      </c>
      <c r="F6" s="89">
        <v>23.3</v>
      </c>
      <c r="G6" s="89" cm="1">
        <f t="array" ref="G6">ROUND((E6/F6-1)*100,0)</f>
        <v>44</v>
      </c>
      <c r="H6" s="89">
        <v>7.7</v>
      </c>
      <c r="I6" s="89">
        <v>4.53</v>
      </c>
      <c r="J6" s="102">
        <v>1.18</v>
      </c>
      <c r="K6" t="str" s="104" cm="1">
        <f t="array" ref="K6">IF(E6&lt;0.8*F6,"Cheap",IF(E6&gt;1.2*F6,"Expensive","Fair"))</f>
        <v>Expensive</v>
      </c>
    </row>
    <row r="7" ht="13.65" customHeight="1">
      <c r="A7" t="s" s="83">
        <v>21</v>
      </c>
      <c r="B7" t="s" s="83">
        <v>239</v>
      </c>
      <c r="C7" t="s" s="83">
        <v>214</v>
      </c>
      <c r="D7" t="s" s="83">
        <v>428</v>
      </c>
      <c r="E7" s="89">
        <v>10.3</v>
      </c>
      <c r="F7" s="89">
        <v>15.5</v>
      </c>
      <c r="G7" s="89" cm="1">
        <f t="array" ref="G7">ROUND((E7/F7-1)*100,0)</f>
        <v>-34</v>
      </c>
      <c r="H7" s="89">
        <v>1.42</v>
      </c>
      <c r="I7" s="89">
        <v>1.8</v>
      </c>
      <c r="J7" s="102">
        <v>1.85</v>
      </c>
      <c r="K7" t="str" s="101" cm="1">
        <f t="array" ref="K7">IF(E7&lt;0.8*F7,"Cheap",IF(E7&gt;1.2*F7,"Expensive","Fair"))</f>
        <v>Cheap</v>
      </c>
    </row>
    <row r="8" ht="13.65" customHeight="1">
      <c r="A8" t="s" s="83">
        <v>21</v>
      </c>
      <c r="B8" t="s" s="83">
        <v>238</v>
      </c>
      <c r="C8" t="s" s="83">
        <v>208</v>
      </c>
      <c r="D8" t="s" s="83">
        <v>428</v>
      </c>
      <c r="E8" s="89">
        <v>14.2</v>
      </c>
      <c r="F8" s="89">
        <v>15.5</v>
      </c>
      <c r="G8" s="89" cm="1">
        <f t="array" ref="G8">ROUND((E8/F8-1)*100,0)</f>
        <v>-8</v>
      </c>
      <c r="H8" s="89">
        <v>1.75</v>
      </c>
      <c r="I8" s="89">
        <v>1.8</v>
      </c>
      <c r="J8" s="102">
        <v>0.08</v>
      </c>
      <c r="K8" t="str" s="103" cm="1">
        <f t="array" ref="K8">IF(E8&lt;0.8*F8,"Cheap",IF(E8&gt;1.2*F8,"Expensive","Fair"))</f>
        <v>Fair</v>
      </c>
    </row>
    <row r="9" ht="13.65" customHeight="1">
      <c r="A9" t="s" s="83">
        <v>21</v>
      </c>
      <c r="B9" t="s" s="83">
        <v>438</v>
      </c>
      <c r="C9" t="s" s="83">
        <v>439</v>
      </c>
      <c r="D9" t="s" s="83">
        <v>428</v>
      </c>
      <c r="E9" s="89">
        <v>15.5</v>
      </c>
      <c r="F9" s="89">
        <v>15.5</v>
      </c>
      <c r="G9" s="89" cm="1">
        <f t="array" ref="G9">ROUND((E9/F9-1)*100,0)</f>
        <v>0</v>
      </c>
      <c r="H9" s="89">
        <v>1.8</v>
      </c>
      <c r="I9" s="89">
        <v>1.8</v>
      </c>
      <c r="J9" s="102">
        <v>1.88</v>
      </c>
      <c r="K9" t="str" s="103" cm="1">
        <f t="array" ref="K9">IF(E9&lt;0.8*F9,"Cheap",IF(E9&gt;1.2*F9,"Expensive","Fair"))</f>
        <v>Fair</v>
      </c>
    </row>
    <row r="10" ht="13.65" customHeight="1">
      <c r="A10" t="s" s="83">
        <v>21</v>
      </c>
      <c r="B10" t="s" s="83">
        <v>22</v>
      </c>
      <c r="C10" t="s" s="83">
        <v>23</v>
      </c>
      <c r="D10" t="s" s="83">
        <v>428</v>
      </c>
      <c r="E10" s="89">
        <v>17.5</v>
      </c>
      <c r="F10" s="89">
        <v>15.5</v>
      </c>
      <c r="G10" s="89" cm="1">
        <f t="array" ref="G10">ROUND((E10/F10-1)*100,0)</f>
        <v>13</v>
      </c>
      <c r="H10" s="89">
        <v>2.55</v>
      </c>
      <c r="I10" s="89">
        <v>1.8</v>
      </c>
      <c r="J10" s="102">
        <v>0.89</v>
      </c>
      <c r="K10" t="str" s="103" cm="1">
        <f t="array" ref="K10">IF(E10&lt;0.8*F10,"Cheap",IF(E10&gt;1.2*F10,"Expensive","Fair"))</f>
        <v>Fair</v>
      </c>
    </row>
    <row r="11" ht="13.65" customHeight="1">
      <c r="A11" t="s" s="83">
        <v>21</v>
      </c>
      <c r="B11" t="s" s="83">
        <v>440</v>
      </c>
      <c r="C11" t="s" s="83">
        <v>441</v>
      </c>
      <c r="D11" t="s" s="83">
        <v>428</v>
      </c>
      <c r="E11" s="89">
        <v>21.6</v>
      </c>
      <c r="F11" s="89">
        <v>15.5</v>
      </c>
      <c r="G11" s="89" cm="1">
        <f t="array" ref="G11">ROUND((E11/F11-1)*100,0)</f>
        <v>39</v>
      </c>
      <c r="H11" s="89">
        <v>2.42</v>
      </c>
      <c r="I11" s="89">
        <v>1.8</v>
      </c>
      <c r="J11" s="102">
        <v>0.15</v>
      </c>
      <c r="K11" t="str" s="104" cm="1">
        <f t="array" ref="K11">IF(E11&lt;0.8*F11,"Cheap",IF(E11&gt;1.2*F11,"Expensive","Fair"))</f>
        <v>Expensive</v>
      </c>
    </row>
    <row r="12" ht="13.65" customHeight="1">
      <c r="A12" t="s" s="83">
        <v>30</v>
      </c>
      <c r="B12" t="s" s="83">
        <v>31</v>
      </c>
      <c r="C12" t="s" s="83">
        <v>32</v>
      </c>
      <c r="D12" t="s" s="83">
        <v>428</v>
      </c>
      <c r="E12" s="89">
        <v>16.1</v>
      </c>
      <c r="F12" s="89">
        <v>41.4</v>
      </c>
      <c r="G12" s="89" cm="1">
        <f t="array" ref="G12">ROUND((E12/F12-1)*100,0)</f>
        <v>-61</v>
      </c>
      <c r="H12" s="89">
        <v>4.6</v>
      </c>
      <c r="I12" s="89">
        <v>8.949999999999999</v>
      </c>
      <c r="J12" s="102">
        <v>6.02</v>
      </c>
      <c r="K12" t="str" s="101" cm="1">
        <f t="array" ref="K12">IF(E12&lt;0.8*F12,"Cheap",IF(E12&gt;1.2*F12,"Expensive","Fair"))</f>
        <v>Cheap</v>
      </c>
    </row>
    <row r="13" ht="13.65" customHeight="1">
      <c r="A13" t="s" s="83">
        <v>30</v>
      </c>
      <c r="B13" t="s" s="83">
        <v>442</v>
      </c>
      <c r="C13" t="s" s="83">
        <v>443</v>
      </c>
      <c r="D13" t="s" s="83">
        <v>428</v>
      </c>
      <c r="E13" s="89">
        <v>34.8</v>
      </c>
      <c r="F13" s="89">
        <v>41.4</v>
      </c>
      <c r="G13" s="89" cm="1">
        <f t="array" ref="G13">ROUND((E13/F13-1)*100,0)</f>
        <v>-16</v>
      </c>
      <c r="H13" s="89">
        <v>6.01</v>
      </c>
      <c r="I13" s="89">
        <v>8.949999999999999</v>
      </c>
      <c r="J13" s="102">
        <v>2.19</v>
      </c>
      <c r="K13" t="str" s="103" cm="1">
        <f t="array" ref="K13">IF(E13&lt;0.8*F13,"Cheap",IF(E13&gt;1.2*F13,"Expensive","Fair"))</f>
        <v>Fair</v>
      </c>
    </row>
    <row r="14" ht="13.65" customHeight="1">
      <c r="A14" t="s" s="83">
        <v>30</v>
      </c>
      <c r="B14" t="s" s="83">
        <v>444</v>
      </c>
      <c r="C14" t="s" s="83">
        <v>445</v>
      </c>
      <c r="D14" t="s" s="83">
        <v>428</v>
      </c>
      <c r="E14" s="89">
        <v>41.4</v>
      </c>
      <c r="F14" s="89">
        <v>41.4</v>
      </c>
      <c r="G14" s="89" cm="1">
        <f t="array" ref="G14">ROUND((E14/F14-1)*100,0)</f>
        <v>0</v>
      </c>
      <c r="H14" s="89">
        <v>8.949999999999999</v>
      </c>
      <c r="I14" s="89">
        <v>8.949999999999999</v>
      </c>
      <c r="J14" s="102">
        <v>2.39</v>
      </c>
      <c r="K14" t="str" s="103" cm="1">
        <f t="array" ref="K14">IF(E14&lt;0.8*F14,"Cheap",IF(E14&gt;1.2*F14,"Expensive","Fair"))</f>
        <v>Fair</v>
      </c>
    </row>
    <row r="15" ht="13.65" customHeight="1">
      <c r="A15" t="s" s="83">
        <v>30</v>
      </c>
      <c r="B15" t="s" s="83">
        <v>446</v>
      </c>
      <c r="C15" t="s" s="83">
        <v>447</v>
      </c>
      <c r="D15" t="s" s="83">
        <v>428</v>
      </c>
      <c r="E15" s="89">
        <v>44.6</v>
      </c>
      <c r="F15" s="89">
        <v>41.4</v>
      </c>
      <c r="G15" s="89" cm="1">
        <f t="array" ref="G15">ROUND((E15/F15-1)*100,0)</f>
        <v>8</v>
      </c>
      <c r="H15" s="89">
        <v>22.76</v>
      </c>
      <c r="I15" s="89">
        <v>8.949999999999999</v>
      </c>
      <c r="J15" s="102">
        <v>1.91</v>
      </c>
      <c r="K15" t="str" s="103" cm="1">
        <f t="array" ref="K15">IF(E15&lt;0.8*F15,"Cheap",IF(E15&gt;1.2*F15,"Expensive","Fair"))</f>
        <v>Fair</v>
      </c>
    </row>
    <row r="16" ht="13.65" customHeight="1">
      <c r="A16" t="s" s="83">
        <v>30</v>
      </c>
      <c r="B16" t="s" s="83">
        <v>448</v>
      </c>
      <c r="C16" t="s" s="83">
        <v>449</v>
      </c>
      <c r="D16" t="s" s="83">
        <v>428</v>
      </c>
      <c r="E16" s="89">
        <v>67.40000000000001</v>
      </c>
      <c r="F16" s="89">
        <v>41.4</v>
      </c>
      <c r="G16" s="89" cm="1">
        <f t="array" ref="G16">ROUND((E16/F16-1)*100,0)</f>
        <v>63</v>
      </c>
      <c r="H16" s="89">
        <v>49.84</v>
      </c>
      <c r="I16" s="89">
        <v>8.949999999999999</v>
      </c>
      <c r="J16" s="102">
        <v>0.91</v>
      </c>
      <c r="K16" t="str" s="104" cm="1">
        <f t="array" ref="K16">IF(E16&lt;0.8*F16,"Cheap",IF(E16&gt;1.2*F16,"Expensive","Fair"))</f>
        <v>Expensive</v>
      </c>
    </row>
    <row r="17" ht="13.65" customHeight="1">
      <c r="A17" t="s" s="83">
        <v>41</v>
      </c>
      <c r="B17" t="s" s="83">
        <v>42</v>
      </c>
      <c r="C17" t="s" s="83">
        <v>43</v>
      </c>
      <c r="D17" t="s" s="83">
        <v>428</v>
      </c>
      <c r="E17" s="89">
        <v>12.9</v>
      </c>
      <c r="F17" s="89">
        <v>15.1</v>
      </c>
      <c r="G17" s="89" cm="1">
        <f t="array" ref="G17">ROUND((E17/F17-1)*100,0)</f>
        <v>-15</v>
      </c>
      <c r="H17" s="89">
        <v>2.08</v>
      </c>
      <c r="I17" s="89">
        <v>4.47</v>
      </c>
      <c r="J17" s="102">
        <v>5.01</v>
      </c>
      <c r="K17" t="str" s="103" cm="1">
        <f t="array" ref="K17">IF(E17&lt;0.8*F17,"Cheap",IF(E17&gt;1.2*F17,"Expensive","Fair"))</f>
        <v>Fair</v>
      </c>
    </row>
    <row r="18" ht="13.65" customHeight="1">
      <c r="A18" t="s" s="83">
        <v>41</v>
      </c>
      <c r="B18" t="s" s="83">
        <v>245</v>
      </c>
      <c r="C18" t="s" s="83">
        <v>225</v>
      </c>
      <c r="D18" t="s" s="83">
        <v>428</v>
      </c>
      <c r="E18" s="89">
        <v>13.6</v>
      </c>
      <c r="F18" s="89">
        <v>15.1</v>
      </c>
      <c r="G18" s="89" cm="1">
        <f t="array" ref="G18">ROUND((E18/F18-1)*100,0)</f>
        <v>-10</v>
      </c>
      <c r="H18" s="89">
        <v>4.47</v>
      </c>
      <c r="I18" s="89">
        <v>4.47</v>
      </c>
      <c r="J18" s="102">
        <v>5.02</v>
      </c>
      <c r="K18" t="str" s="103" cm="1">
        <f t="array" ref="K18">IF(E18&lt;0.8*F18,"Cheap",IF(E18&gt;1.2*F18,"Expensive","Fair"))</f>
        <v>Fair</v>
      </c>
    </row>
    <row r="19" ht="13.65" customHeight="1">
      <c r="A19" t="s" s="83">
        <v>41</v>
      </c>
      <c r="B19" t="s" s="83">
        <v>450</v>
      </c>
      <c r="C19" t="s" s="83">
        <v>451</v>
      </c>
      <c r="D19" t="s" s="83">
        <v>428</v>
      </c>
      <c r="E19" s="89">
        <v>15.1</v>
      </c>
      <c r="F19" s="89">
        <v>15.1</v>
      </c>
      <c r="G19" s="89" cm="1">
        <f t="array" ref="G19">ROUND((E19/F19-1)*100,0)</f>
        <v>0</v>
      </c>
      <c r="H19" s="89">
        <v>7.12</v>
      </c>
      <c r="I19" s="89">
        <v>4.47</v>
      </c>
      <c r="J19" s="102">
        <v>2.31</v>
      </c>
      <c r="K19" t="str" s="103" cm="1">
        <f t="array" ref="K19">IF(E19&lt;0.8*F19,"Cheap",IF(E19&gt;1.2*F19,"Expensive","Fair"))</f>
        <v>Fair</v>
      </c>
    </row>
    <row r="20" ht="13.65" customHeight="1">
      <c r="A20" t="s" s="83">
        <v>41</v>
      </c>
      <c r="B20" t="s" s="83">
        <v>452</v>
      </c>
      <c r="C20" t="s" s="83">
        <v>453</v>
      </c>
      <c r="D20" t="s" s="83">
        <v>428</v>
      </c>
      <c r="E20" s="89">
        <v>18.9</v>
      </c>
      <c r="F20" s="89">
        <v>15.1</v>
      </c>
      <c r="G20" s="89" cm="1">
        <f t="array" ref="G20">ROUND((E20/F20-1)*100,0)</f>
        <v>25</v>
      </c>
      <c r="H20" s="89">
        <v>4.4</v>
      </c>
      <c r="I20" s="89">
        <v>4.47</v>
      </c>
      <c r="J20" s="102">
        <v>5.06</v>
      </c>
      <c r="K20" t="str" s="104" cm="1">
        <f t="array" ref="K20">IF(E20&lt;0.8*F20,"Cheap",IF(E20&gt;1.2*F20,"Expensive","Fair"))</f>
        <v>Expensive</v>
      </c>
    </row>
    <row r="21" ht="13.65" customHeight="1">
      <c r="A21" t="s" s="83">
        <v>41</v>
      </c>
      <c r="B21" t="s" s="83">
        <v>247</v>
      </c>
      <c r="C21" t="s" s="83">
        <v>248</v>
      </c>
      <c r="D21" t="s" s="83">
        <v>428</v>
      </c>
      <c r="E21" s="89">
        <v>26.2</v>
      </c>
      <c r="F21" s="89">
        <v>15.1</v>
      </c>
      <c r="G21" s="89" cm="1">
        <f t="array" ref="G21">ROUND((E21/F21-1)*100,0)</f>
        <v>74</v>
      </c>
      <c r="H21" s="89">
        <v>4.53</v>
      </c>
      <c r="I21" s="89">
        <v>4.47</v>
      </c>
      <c r="J21" s="102">
        <v>3.42</v>
      </c>
      <c r="K21" t="str" s="104" cm="1">
        <f t="array" ref="K21">IF(E21&lt;0.8*F21,"Cheap",IF(E21&gt;1.2*F21,"Expensive","Fair"))</f>
        <v>Expensive</v>
      </c>
    </row>
    <row r="22" ht="13.65" customHeight="1">
      <c r="A22" t="s" s="83">
        <v>38</v>
      </c>
      <c r="B22" t="s" s="83">
        <v>243</v>
      </c>
      <c r="C22" t="s" s="83">
        <v>244</v>
      </c>
      <c r="D22" t="s" s="83">
        <v>428</v>
      </c>
      <c r="E22" s="89">
        <v>16.2</v>
      </c>
      <c r="F22" s="89">
        <v>31.2</v>
      </c>
      <c r="G22" s="89" cm="1">
        <f t="array" ref="G22">ROUND((E22/F22-1)*100,0)</f>
        <v>-48</v>
      </c>
      <c r="H22" s="89">
        <v>3.98</v>
      </c>
      <c r="I22" s="89">
        <v>3.98</v>
      </c>
      <c r="J22" s="102">
        <v>0.89</v>
      </c>
      <c r="K22" t="str" s="101" cm="1">
        <f t="array" ref="K22">IF(E22&lt;0.8*F22,"Cheap",IF(E22&gt;1.2*F22,"Expensive","Fair"))</f>
        <v>Cheap</v>
      </c>
    </row>
    <row r="23" ht="13.65" customHeight="1">
      <c r="A23" t="s" s="83">
        <v>38</v>
      </c>
      <c r="B23" t="s" s="83">
        <v>252</v>
      </c>
      <c r="C23" t="s" s="83">
        <v>253</v>
      </c>
      <c r="D23" t="s" s="83">
        <v>428</v>
      </c>
      <c r="E23" s="89">
        <v>30.1</v>
      </c>
      <c r="F23" s="89">
        <v>31.2</v>
      </c>
      <c r="G23" s="89" cm="1">
        <f t="array" ref="G23">ROUND((E23/F23-1)*100,0)</f>
        <v>-4</v>
      </c>
      <c r="H23" s="89">
        <v>2.6</v>
      </c>
      <c r="I23" s="89">
        <v>3.98</v>
      </c>
      <c r="J23" s="102">
        <v>0.66</v>
      </c>
      <c r="K23" t="str" s="103" cm="1">
        <f t="array" ref="K23">IF(E23&lt;0.8*F23,"Cheap",IF(E23&gt;1.2*F23,"Expensive","Fair"))</f>
        <v>Fair</v>
      </c>
    </row>
    <row r="24" ht="13.65" customHeight="1">
      <c r="A24" t="s" s="83">
        <v>38</v>
      </c>
      <c r="B24" t="s" s="83">
        <v>454</v>
      </c>
      <c r="C24" t="s" s="83">
        <v>455</v>
      </c>
      <c r="D24" t="s" s="83">
        <v>428</v>
      </c>
      <c r="E24" s="89">
        <v>31.2</v>
      </c>
      <c r="F24" s="89">
        <v>31.2</v>
      </c>
      <c r="G24" s="89" cm="1">
        <f t="array" ref="G24">ROUND((E24/F24-1)*100,0)</f>
        <v>0</v>
      </c>
      <c r="H24" s="89">
        <v>3.05</v>
      </c>
      <c r="I24" s="89">
        <v>3.98</v>
      </c>
      <c r="J24" s="102">
        <v>0.99</v>
      </c>
      <c r="K24" t="str" s="103" cm="1">
        <f t="array" ref="K24">IF(E24&lt;0.8*F24,"Cheap",IF(E24&gt;1.2*F24,"Expensive","Fair"))</f>
        <v>Fair</v>
      </c>
    </row>
    <row r="25" ht="13.65" customHeight="1">
      <c r="A25" t="s" s="83">
        <v>38</v>
      </c>
      <c r="B25" t="s" s="83">
        <v>39</v>
      </c>
      <c r="C25" t="s" s="83">
        <v>40</v>
      </c>
      <c r="D25" t="s" s="83">
        <v>428</v>
      </c>
      <c r="E25" s="89">
        <v>34.9</v>
      </c>
      <c r="F25" s="89">
        <v>31.2</v>
      </c>
      <c r="G25" s="89" cm="1">
        <f t="array" ref="G25">ROUND((E25/F25-1)*100,0)</f>
        <v>12</v>
      </c>
      <c r="H25" s="89">
        <v>5.05</v>
      </c>
      <c r="I25" s="89">
        <v>3.98</v>
      </c>
      <c r="J25" s="102">
        <v>0.9</v>
      </c>
      <c r="K25" t="str" s="103" cm="1">
        <f t="array" ref="K25">IF(E25&lt;0.8*F25,"Cheap",IF(E25&gt;1.2*F25,"Expensive","Fair"))</f>
        <v>Fair</v>
      </c>
    </row>
    <row r="26" ht="13.65" customHeight="1">
      <c r="A26" t="s" s="83">
        <v>38</v>
      </c>
      <c r="B26" t="s" s="83">
        <v>241</v>
      </c>
      <c r="C26" t="s" s="83">
        <v>220</v>
      </c>
      <c r="D26" t="s" s="83">
        <v>428</v>
      </c>
      <c r="E26" s="89">
        <v>84.90000000000001</v>
      </c>
      <c r="F26" s="89">
        <v>31.2</v>
      </c>
      <c r="G26" s="89" cm="1">
        <f t="array" ref="G26">ROUND((E26/F26-1)*100,0)</f>
        <v>172</v>
      </c>
      <c r="H26" s="89">
        <v>14.79</v>
      </c>
      <c r="I26" s="89">
        <v>3.98</v>
      </c>
      <c r="J26" s="102">
        <v>0.32</v>
      </c>
      <c r="K26" t="str" s="104" cm="1">
        <f t="array" ref="K26">IF(E26&lt;0.8*F26,"Cheap",IF(E26&gt;1.2*F26,"Expensive","Fair"))</f>
        <v>Expensive</v>
      </c>
    </row>
    <row r="27" ht="13.55" customHeight="1">
      <c r="A27" s="84"/>
      <c r="B27" s="84"/>
      <c r="C27" s="84"/>
      <c r="D27" s="84"/>
      <c r="E27" s="84"/>
      <c r="F27" s="84"/>
      <c r="G27" s="84"/>
      <c r="H27" s="84"/>
      <c r="I27" s="84"/>
      <c r="J27" s="84"/>
      <c r="K27" s="105"/>
    </row>
    <row r="28" ht="13.55" customHeight="1">
      <c r="A28" t="s" s="95">
        <v>456</v>
      </c>
      <c r="B28" s="84"/>
      <c r="C28" s="84"/>
      <c r="D28" s="84"/>
      <c r="E28" s="84"/>
      <c r="F28" s="84"/>
      <c r="G28" s="84"/>
      <c r="H28" s="84"/>
      <c r="I28" s="84"/>
      <c r="J28" s="84"/>
      <c r="K28" s="84"/>
    </row>
    <row r="29" ht="13.55" customHeight="1">
      <c r="A29" s="84"/>
      <c r="B29" s="84"/>
      <c r="C29" s="84"/>
      <c r="D29" s="84"/>
      <c r="E29" s="84"/>
      <c r="F29" s="84"/>
      <c r="G29" s="84"/>
      <c r="H29" s="84"/>
      <c r="I29" s="84"/>
      <c r="J29" s="84"/>
      <c r="K29" s="84"/>
    </row>
    <row r="30" ht="13.65" customHeight="1">
      <c r="A30" t="s" s="106">
        <v>162</v>
      </c>
      <c r="B30" s="107"/>
      <c r="C30" s="107"/>
      <c r="D30" s="107"/>
      <c r="E30" s="107"/>
      <c r="F30" s="107"/>
      <c r="G30" s="84"/>
      <c r="H30" s="84"/>
      <c r="I30" s="84"/>
      <c r="J30" s="84"/>
      <c r="K30" s="84"/>
    </row>
    <row r="31" ht="13.65" customHeight="1">
      <c r="A31" t="s" s="108">
        <v>189</v>
      </c>
      <c r="B31" t="s" s="108">
        <v>457</v>
      </c>
      <c r="C31" t="s" s="108">
        <v>458</v>
      </c>
      <c r="D31" t="s" s="108">
        <v>459</v>
      </c>
      <c r="E31" t="s" s="109">
        <v>460</v>
      </c>
      <c r="F31" s="110"/>
      <c r="G31" s="111"/>
      <c r="H31" s="84"/>
      <c r="I31" s="84"/>
      <c r="J31" s="84"/>
      <c r="K31" s="84"/>
    </row>
    <row r="32" ht="13.65" customHeight="1">
      <c r="A32" t="s" s="112">
        <v>34</v>
      </c>
      <c r="B32" s="113">
        <v>23.3</v>
      </c>
      <c r="C32" s="113">
        <v>4.53</v>
      </c>
      <c r="D32" t="s" s="112">
        <v>461</v>
      </c>
      <c r="E32" t="s" s="112">
        <v>462</v>
      </c>
      <c r="F32" s="114"/>
      <c r="G32" s="84"/>
      <c r="H32" s="84"/>
      <c r="I32" s="84"/>
      <c r="J32" s="84"/>
      <c r="K32" s="84"/>
    </row>
    <row r="33" ht="13.65" customHeight="1">
      <c r="A33" t="s" s="83">
        <v>21</v>
      </c>
      <c r="B33" s="89">
        <v>15.5</v>
      </c>
      <c r="C33" s="89">
        <v>1.8</v>
      </c>
      <c r="D33" t="s" s="83">
        <v>463</v>
      </c>
      <c r="E33" t="s" s="83">
        <v>464</v>
      </c>
      <c r="F33" s="84"/>
      <c r="G33" s="84"/>
      <c r="H33" s="84"/>
      <c r="I33" s="84"/>
      <c r="J33" s="84"/>
      <c r="K33" s="84"/>
    </row>
    <row r="34" ht="13.65" customHeight="1">
      <c r="A34" t="s" s="83">
        <v>30</v>
      </c>
      <c r="B34" s="89">
        <v>41.4</v>
      </c>
      <c r="C34" s="89">
        <v>8.949999999999999</v>
      </c>
      <c r="D34" t="s" s="83">
        <v>465</v>
      </c>
      <c r="E34" t="s" s="83">
        <v>466</v>
      </c>
      <c r="F34" s="84"/>
      <c r="G34" s="84"/>
      <c r="H34" s="84"/>
      <c r="I34" s="84"/>
      <c r="J34" s="84"/>
      <c r="K34" s="84"/>
    </row>
    <row r="35" ht="13.65" customHeight="1">
      <c r="A35" t="s" s="83">
        <v>41</v>
      </c>
      <c r="B35" s="89">
        <v>15.1</v>
      </c>
      <c r="C35" s="89">
        <v>4.47</v>
      </c>
      <c r="D35" t="s" s="83">
        <v>467</v>
      </c>
      <c r="E35" t="s" s="83">
        <v>468</v>
      </c>
      <c r="F35" s="84"/>
      <c r="G35" s="84"/>
      <c r="H35" s="84"/>
      <c r="I35" s="84"/>
      <c r="J35" s="84"/>
      <c r="K35" s="84"/>
    </row>
    <row r="36" ht="13.65" customHeight="1">
      <c r="A36" t="s" s="83">
        <v>38</v>
      </c>
      <c r="B36" s="89">
        <v>31.2</v>
      </c>
      <c r="C36" s="89">
        <v>3.98</v>
      </c>
      <c r="D36" t="s" s="83">
        <v>469</v>
      </c>
      <c r="E36" t="s" s="83">
        <v>470</v>
      </c>
      <c r="F36" s="84"/>
      <c r="G36" s="84"/>
      <c r="H36" s="84"/>
      <c r="I36" s="84"/>
      <c r="J36" s="84"/>
      <c r="K36" s="84"/>
    </row>
  </sheetData>
  <mergeCells count="1">
    <mergeCell ref="E31:F3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